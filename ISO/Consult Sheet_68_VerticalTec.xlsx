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y Drive\Folder Share to VTEC Team\ISO29110\"/>
    </mc:Choice>
  </mc:AlternateContent>
  <xr:revisionPtr revIDLastSave="0" documentId="13_ncr:1_{F574BF18-E073-4A54-B056-FD7A34EB319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หน้าแรก" sheetId="3" r:id="rId1"/>
    <sheet name="PilotProject" sheetId="1" r:id="rId2"/>
    <sheet name="WorkProducts" sheetId="2" r:id="rId3"/>
    <sheet name="Pre-assessment" sheetId="7" r:id="rId4"/>
    <sheet name="สรุปผล" sheetId="5" r:id="rId5"/>
    <sheet name="รูปภาพ" sheetId="6" r:id="rId6"/>
  </sheets>
  <definedNames>
    <definedName name="_Hlk251586324" localSheetId="4">สรุปผล!$B$4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gloSkth14bwmEm9b0kPprkBNQvDg=="/>
    </ext>
  </extLst>
</workbook>
</file>

<file path=xl/calcChain.xml><?xml version="1.0" encoding="utf-8"?>
<calcChain xmlns="http://schemas.openxmlformats.org/spreadsheetml/2006/main">
  <c r="D6" i="5" l="1"/>
  <c r="E6" i="5" s="1"/>
  <c r="D8" i="5"/>
  <c r="E8" i="5" s="1"/>
  <c r="D9" i="5" l="1"/>
  <c r="E9" i="5" s="1"/>
  <c r="D7" i="5"/>
  <c r="E7" i="5" s="1"/>
  <c r="D5" i="5"/>
  <c r="E5" i="5" s="1"/>
  <c r="D4" i="5"/>
  <c r="E4" i="5" s="1"/>
  <c r="D10" i="5"/>
  <c r="E10" i="5" s="1"/>
  <c r="D12" i="5"/>
  <c r="E12" i="5" s="1"/>
  <c r="D11" i="5"/>
  <c r="E11" i="5" s="1"/>
  <c r="E13" i="5" l="1"/>
  <c r="D13" i="5"/>
</calcChain>
</file>

<file path=xl/sharedStrings.xml><?xml version="1.0" encoding="utf-8"?>
<sst xmlns="http://schemas.openxmlformats.org/spreadsheetml/2006/main" count="261" uniqueCount="203">
  <si>
    <t>1. ชื่อโครงการ (Project Name)</t>
  </si>
  <si>
    <t>2. ลักษณะของโครงการ (Project Descrription)</t>
  </si>
  <si>
    <t>3. ระยะเวลาเริ่มโครงการ (Starting Date)</t>
  </si>
  <si>
    <t>4. ระยะเวลาสิ้นสุดโครงการ (Ending Date)</t>
  </si>
  <si>
    <t>5. รวมระยะเวลา (เดือน) (Total Duration in Months)</t>
  </si>
  <si>
    <t>6. จำนวนบุคลากรในโครงการ (คน) (Number of Staff)</t>
  </si>
  <si>
    <t>7. เหตุผลในการเลือกเป็นโครงการนำร่อง</t>
  </si>
  <si>
    <t>(Reasons for choosing as the pilot project)</t>
  </si>
  <si>
    <t>Acceptance Record</t>
  </si>
  <si>
    <t xml:space="preserve">Change Request </t>
  </si>
  <si>
    <t>Correction Register</t>
  </si>
  <si>
    <t>Meeting Record</t>
  </si>
  <si>
    <t>Progress Status Record</t>
  </si>
  <si>
    <t>Project Repository</t>
  </si>
  <si>
    <t>Project Repository Backup</t>
  </si>
  <si>
    <t>Software</t>
  </si>
  <si>
    <t>Software Components</t>
  </si>
  <si>
    <t>Test Cases and Test Procedures</t>
  </si>
  <si>
    <t>Test Report</t>
  </si>
  <si>
    <t>Traceability Record</t>
  </si>
  <si>
    <t>Consult Summary Record</t>
  </si>
  <si>
    <t>Name of Consultant  :</t>
  </si>
  <si>
    <t>ครั้งที่</t>
  </si>
  <si>
    <t>กิจกรรมการให้คำปรึกษา</t>
  </si>
  <si>
    <t>วันที่ที่ดำเนินการ</t>
  </si>
  <si>
    <t>หมายเหตุ/รายละเอียด</t>
  </si>
  <si>
    <t>กำหนดแผนในการดำเนินงาน และตรวจ process flow</t>
  </si>
  <si>
    <t>เลือกโครงการนำร่อง</t>
  </si>
  <si>
    <t>PM - Work Products</t>
  </si>
  <si>
    <t>SI - Work Products</t>
  </si>
  <si>
    <t>Pre-assessment และสรุปผล</t>
  </si>
  <si>
    <t>Pre-assesssment Result</t>
  </si>
  <si>
    <t>คะแนน</t>
  </si>
  <si>
    <t>Project Initiation and Planning</t>
  </si>
  <si>
    <t>Project Plan Execution</t>
  </si>
  <si>
    <t>Project Assessment and Control</t>
  </si>
  <si>
    <t>Project Closure</t>
  </si>
  <si>
    <t>Software Requirements Analysis</t>
  </si>
  <si>
    <t>Software Requirements Specification</t>
  </si>
  <si>
    <t>Requirements are communicated</t>
  </si>
  <si>
    <t>Software Architectural and Detailed Design</t>
  </si>
  <si>
    <t>Detailed Design</t>
  </si>
  <si>
    <t>External Interfaces</t>
  </si>
  <si>
    <t>Internal Interfaces</t>
  </si>
  <si>
    <t>Software Construction and Test</t>
  </si>
  <si>
    <t>Unit Test</t>
  </si>
  <si>
    <t>Software Configuration and QA</t>
  </si>
  <si>
    <t>กราฟแสดงผลการวัด Pre-assessment</t>
  </si>
  <si>
    <t>กระบวนการ</t>
  </si>
  <si>
    <t>รวมทั้งสิ้น จำนวน</t>
  </si>
  <si>
    <t>PM &amp; SI Work Products</t>
  </si>
  <si>
    <t>Name of Organization :</t>
  </si>
  <si>
    <t>Deliverable Items in Acceptance Records</t>
  </si>
  <si>
    <t>รายละเอียดโครงการนำร่อง (Pilot project)</t>
  </si>
  <si>
    <t>ISO/IEC 29110 Work Products</t>
  </si>
  <si>
    <t>Project Initiation</t>
  </si>
  <si>
    <t>Project Planning</t>
  </si>
  <si>
    <t>Work Process Flow</t>
  </si>
  <si>
    <t>Agreement</t>
  </si>
  <si>
    <t>Verification Record</t>
  </si>
  <si>
    <t>ชื่อเอกสาร</t>
  </si>
  <si>
    <t>Path</t>
  </si>
  <si>
    <t>Software Design</t>
  </si>
  <si>
    <t>Software Construction</t>
  </si>
  <si>
    <t>Traceability Control</t>
  </si>
  <si>
    <t>Change Management</t>
  </si>
  <si>
    <t>Validation Record</t>
  </si>
  <si>
    <t>WP.01</t>
  </si>
  <si>
    <t>WP.02</t>
  </si>
  <si>
    <t>WP.03</t>
  </si>
  <si>
    <t>WP.04</t>
  </si>
  <si>
    <t>WP.05</t>
  </si>
  <si>
    <t>WP.06</t>
  </si>
  <si>
    <t>WP.07</t>
  </si>
  <si>
    <t>WP.08</t>
  </si>
  <si>
    <t>WP.09</t>
  </si>
  <si>
    <t>WP.10</t>
  </si>
  <si>
    <t>WP.11</t>
  </si>
  <si>
    <t>WP.12</t>
  </si>
  <si>
    <t>WP.13</t>
  </si>
  <si>
    <t>WP.14</t>
  </si>
  <si>
    <t>WP.17</t>
  </si>
  <si>
    <t>WP.18</t>
  </si>
  <si>
    <t>WP.19</t>
  </si>
  <si>
    <t>WP.20</t>
  </si>
  <si>
    <t>WP.21</t>
  </si>
  <si>
    <t>WP.22</t>
  </si>
  <si>
    <t>WP.23</t>
  </si>
  <si>
    <t>Software Product Assembly</t>
  </si>
  <si>
    <t>Implementation Environment</t>
  </si>
  <si>
    <t>Software User Documentation (Ver)</t>
  </si>
  <si>
    <t>Product Operation Guideline (Ver)</t>
  </si>
  <si>
    <t>Maintenance Documentation (Ver)</t>
  </si>
  <si>
    <t>Test Cases and Test Procedures  (Ver)</t>
  </si>
  <si>
    <t>Requirements Specification (Ver , Val)</t>
  </si>
  <si>
    <t>Software Implementation Initiation</t>
  </si>
  <si>
    <t xml:space="preserve">Traceability of components, test cases and test results to requirements </t>
  </si>
  <si>
    <t>Project Plan (Val)</t>
  </si>
  <si>
    <t>WP.16</t>
  </si>
  <si>
    <t>WP.15</t>
  </si>
  <si>
    <t>Software Design (Ver)</t>
  </si>
  <si>
    <t>Project Execution, Assessment and Control</t>
  </si>
  <si>
    <t>Software Testing</t>
  </si>
  <si>
    <t>Validation Record (UAT - Customer)</t>
  </si>
  <si>
    <t>Software Product  (Delivered)</t>
  </si>
  <si>
    <t>Version Control Strategy</t>
  </si>
  <si>
    <t>Software Product</t>
  </si>
  <si>
    <t>Traceability of requirements in software requirements specification to requirements in agreement</t>
  </si>
  <si>
    <t>Software Architectural Design</t>
  </si>
  <si>
    <t>Risks control (document and track the action to closure)</t>
  </si>
  <si>
    <t>Store the acceptant record in the Project Repository</t>
  </si>
  <si>
    <t>Software Implementation Initiation &amp; Requirements Analysis</t>
  </si>
  <si>
    <t>Acceptance Record (Signed / Approved)</t>
  </si>
  <si>
    <t>Meetings are recorded (Internal &amp; External)</t>
  </si>
  <si>
    <t>Verify and obtain approval of the Software Requirements Specification</t>
  </si>
  <si>
    <t>Validate and obtain approval of the Software Requirements Specification</t>
  </si>
  <si>
    <t>Integration Test</t>
  </si>
  <si>
    <t>Design Baselined (Control the baseline of software product item)</t>
  </si>
  <si>
    <t>Requirements Baselined (Control the baseline of software product item)</t>
  </si>
  <si>
    <t>Verify and obtain approval of the Test Cases and Test Procedures</t>
  </si>
  <si>
    <t>Test Cases and Test Procedures Baselined (Control the baseline of software product item)</t>
  </si>
  <si>
    <t>Validate the project plan and obtain approval from the customer</t>
  </si>
  <si>
    <t>Monitor the project plan execution</t>
  </si>
  <si>
    <t>Verification Record (Integration test cases)</t>
  </si>
  <si>
    <t>Correction Register (document and track the action to closure)</t>
  </si>
  <si>
    <t>Estimate schedule, effort, cost and duration of work</t>
  </si>
  <si>
    <t>Has baslined agreement</t>
  </si>
  <si>
    <t>Perform cost, technical and schedule feasibility</t>
  </si>
  <si>
    <t>Create project schedule with human resource allocation</t>
  </si>
  <si>
    <r>
      <t>Define deliverable Items an</t>
    </r>
    <r>
      <rPr>
        <sz val="10"/>
        <color theme="1"/>
        <rFont val="THSarabunNew"/>
      </rPr>
      <t>d delivery instructions</t>
    </r>
  </si>
  <si>
    <t>Identify risks</t>
  </si>
  <si>
    <t>Identify version control strategy and backup and recovery mechanisms</t>
  </si>
  <si>
    <t>Hold regular progress meetings</t>
  </si>
  <si>
    <t>Record progress status (Plan vs. Actual)</t>
  </si>
  <si>
    <t>Analyse requirements for correctness and testability</t>
  </si>
  <si>
    <t xml:space="preserve">Evaluate and approve change request according to cost, schedule and technical impact </t>
  </si>
  <si>
    <t>Verify and obtain approval of softwarearchitectural and detailed design</t>
  </si>
  <si>
    <t>Software User Document (if applicable)</t>
  </si>
  <si>
    <t>Product Operation Guideline (if applicable)</t>
  </si>
  <si>
    <t>Verification records for all verify actions</t>
  </si>
  <si>
    <t>Validation records for all validate actions</t>
  </si>
  <si>
    <t xml:space="preserve">Traceability records </t>
  </si>
  <si>
    <t>Project repository for all work product (with versioning and baselines)</t>
  </si>
  <si>
    <t>จำนวนคะแนนรวม (เต็ม 55)</t>
  </si>
  <si>
    <t>ร้อยละที่ได้ในแต่ละกระบวนการ</t>
  </si>
  <si>
    <t>สำหรับคะแนน : ถ้ามีครบแบบสมบูรณ์ ให้ 1 || ถ้ามีค่อนข้างมาก และไม่สมบูรณ์ให้ 0.7 || ถ้ามีค่อนข้างน้อย และไม่สมบูรณ์ ให้ 0.3 || ถ้าไม่มี ให้ 0</t>
  </si>
  <si>
    <t xml:space="preserve">Select development life cycle </t>
  </si>
  <si>
    <t>Implement version control strategy  to create baselines as defined</t>
  </si>
  <si>
    <t>Implement back up and recovery as defined</t>
  </si>
  <si>
    <t xml:space="preserve">Project Closure   </t>
  </si>
  <si>
    <t>Traceability of design elements to requirements specification</t>
  </si>
  <si>
    <t>Software component baselined (Control the baseline of software product item)</t>
  </si>
  <si>
    <t>Maintenance documentation</t>
  </si>
  <si>
    <t>Identify all work products to be assembled as baselined software product for delivery</t>
  </si>
  <si>
    <t>โครงการส่งเสริมให้ผู้ประกอบการได้รับมาตรฐาน ISO/IEC 29110 ปีงบประมาณ 2568</t>
  </si>
  <si>
    <t>Figma : CCCCC</t>
  </si>
  <si>
    <t>พัฒนาระบบ POS ให้รองรับ E-tax</t>
  </si>
  <si>
    <t>บริษัทมีความต้องการเพิ่มฟังก์ชัน POS ให้รองรับการออกใบกำกับภาษีเต็มรูป ในแบบอิเล็กทรอนิคส์ไฟล์ (E-tax) เพื่อรองรับกลุ่มลูกค้าในปัจจุบันและอนาคตที่ต้องการเปิดการใช้งานการขอออกใบกำกับภาษีเต็มรูปแบบอิเล็กทรอนิคส์ไฟล์ เราจึงได้พัฒนาระบบ POS ให้สามารถเชื่อมต่อกับ API ของผู้ให้บริการ E-tax โปรเจกต์นี้เราได้เลือกผู้ให้บริการ Service เป็นของทาง IES</t>
  </si>
  <si>
    <t>1 มีนาคม 2568</t>
  </si>
  <si>
    <t>30 มิถุนายน 2568</t>
  </si>
  <si>
    <t>4 เดือน</t>
  </si>
  <si>
    <t>โปรเจกต์มีขนาดไม่ใหญ่มาก และเป็นโปรเจกต์ภายในบริษัท</t>
  </si>
  <si>
    <t>Google Drive</t>
  </si>
  <si>
    <t>Google Drive(Info Account)</t>
  </si>
  <si>
    <t>E-TAX_AGR_1.0_14032025</t>
  </si>
  <si>
    <t>E-TAX_PJP_1.0_14032025</t>
  </si>
  <si>
    <t>E-TAX_ImE_1.0_21032025</t>
  </si>
  <si>
    <t xml:space="preserve">ไม่มีเอกสาร </t>
  </si>
  <si>
    <t>ไม่มีเอกสาร</t>
  </si>
  <si>
    <t>E-TAX_ValiD_1.0_Poject Planing</t>
  </si>
  <si>
    <t>E-TAX_CoR_2.0_23052025</t>
  </si>
  <si>
    <t>E-TAX_TraR_2.0_23052025</t>
  </si>
  <si>
    <t>Unit test cases : E-TAX_TC_2.0_23052025</t>
  </si>
  <si>
    <t>Integration test cases : E-TAX_UAT_2.0_23052025</t>
  </si>
  <si>
    <t>E-TAX_TR(TC)_2.0_23052025
E-TAX_TR(UAT)_2.0_23052025</t>
  </si>
  <si>
    <t>E-TAX_CR_1.0_09042025</t>
  </si>
  <si>
    <t>E-TAX_SUD_1.0_06052025</t>
  </si>
  <si>
    <t>E-TAX_MD_1.0_26052025</t>
  </si>
  <si>
    <t>E-TAX_SW(Delivered)_1.0_30062025</t>
  </si>
  <si>
    <t>E-TAX_LOA_1.0_28032025
E-TAX_LOA_2.0_30062025</t>
  </si>
  <si>
    <t>External : 
E-TAX_PSR(Ex)_1.0_14032025
E-TAX_PSR(Ex)_2.0_21032025
E-TAX_PSR(Ex)_3.0_28032025
E-TAX_PSR(Ex)_4.0_09052025
E-TAX_PSR(Ex)_5.0_23052025
E-TAX_PSR(Ex)_6.0_26062025</t>
  </si>
  <si>
    <t>External : 
E-TAX_MOM(Ex)_1.0_14032025
E-TAX_MOM(Ex)_2.0_21032025
E-TAX_MOM(Ex)_3.0_28032025
E-TAX_MOM(Ex)_4.0_09052025
E-TAX_MOM(Ex)_5.0_23052025
E-TAX_MOM(Ex)_6.0_26062025</t>
  </si>
  <si>
    <t>Internal :
E-TAX_PSR(In)_1.0_17032025
E-TAX_PSR(In)_2.0_09042025
E-TAX_PSR(In)_3.0_25042025
E-TAX_PSR(In)_4.0_06062025</t>
  </si>
  <si>
    <t>Internal :
E-TAX_MOM(In)_1.0_17032025
E-TAX_MOM(In)_2.0_09042025
E-TAX_MOM(In)_3.0_25042025
E-TAX_MOM(In)_4.0_06062025</t>
  </si>
  <si>
    <t>E-TAX_MOM(Ex)_1.0_14032025</t>
  </si>
  <si>
    <t>E-TAX_SRS+SD_2.0_24032025</t>
  </si>
  <si>
    <t>E-TAX_VeriFi_2.0_Software Requirements+Software Design</t>
  </si>
  <si>
    <t>E-TAX_ValiD_1.0_Software Requirements+Software Design</t>
  </si>
  <si>
    <t>E-TAX_VeriFi_1.0_Test Case</t>
  </si>
  <si>
    <t>E-TAX_ValiD_1.0_UAT</t>
  </si>
  <si>
    <t>E-TAX_POG_1.0_26052025</t>
  </si>
  <si>
    <t>E-TAX_VeriFi_1.0_Maintenance Documentation</t>
  </si>
  <si>
    <t>E-TAX_VeriFi_1.0_Product Operation Guideline</t>
  </si>
  <si>
    <t>E-TAX_VeriFi_1.0_Software User Documentation</t>
  </si>
  <si>
    <t>https://github.com/vTecApp/api-core-or-phase2/tree/main/src/VerticalTec.Api</t>
  </si>
  <si>
    <t>https://drive.google.com/drive/folders/1bSC6U_xaDJNT7zkcg7zbENZfVCJ8JyLx?usp=sharing</t>
  </si>
  <si>
    <t>https://drive.google.com/drive/folders/1rx4Y81GwT2Z0lY56ZoBk8sTTv3lqrxXX?usp=drive_link</t>
  </si>
  <si>
    <t>https://drive.google.com/drive/folders/1PEXT2cF3fGKs9BF6QateGNAn0yLrfgqO?usp=drive_link</t>
  </si>
  <si>
    <t>https://drive.google.com/drive/folders/1ExaEM5DCbNv2xsecjXeGFysy7qhlZERJ?usp=drive_link</t>
  </si>
  <si>
    <t>https://drive.google.com/drive/folders/1rye9eeEnCdLNp43pNLQmg_8VcZZ6lsa1?usp=drive_link</t>
  </si>
  <si>
    <t>https://drive.google.com/drive/folders/12QY6m_hjvS9sXB_uBNCleLGO4KMeWi5_?usp=drive_link</t>
  </si>
  <si>
    <t>https://drive.google.com/drive/folders/1u4cJ6j_ShH-KhzJw77hA1danfxzYQPYK?usp=drive_link</t>
  </si>
  <si>
    <t>https://drive.google.com/drive/folders/1xDnb3G99HJQOzVH1xn-ScMrH_he-WBgz?usp=drive_link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</si>
</sst>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33">
    <font>
      <sz val="11"/>
      <color theme="1"/>
      <name val="Arial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color rgb="FF000000"/>
      <name val="TH SarabunPSK"/>
      <family val="2"/>
    </font>
    <font>
      <sz val="11"/>
      <color rgb="FF000000"/>
      <name val="Tahoma"/>
      <family val="2"/>
      <charset val="222"/>
    </font>
    <font>
      <sz val="10"/>
      <name val="TH SarabunPSK"/>
      <family val="2"/>
    </font>
    <font>
      <sz val="11"/>
      <color rgb="FF000000"/>
      <name val="Calibri"/>
      <family val="2"/>
      <charset val="222"/>
    </font>
    <font>
      <b/>
      <u/>
      <sz val="16"/>
      <color rgb="FF0070C0"/>
      <name val="THSarabunNew"/>
    </font>
    <font>
      <sz val="11"/>
      <color theme="1"/>
      <name val="THSarabunNew"/>
    </font>
    <font>
      <b/>
      <sz val="16"/>
      <color rgb="FF0070C0"/>
      <name val="THSarabunNew"/>
    </font>
    <font>
      <sz val="16"/>
      <color rgb="FF000000"/>
      <name val="THSarabunNew"/>
    </font>
    <font>
      <b/>
      <sz val="16"/>
      <color rgb="FF000000"/>
      <name val="THSarabunNew"/>
    </font>
    <font>
      <sz val="16"/>
      <name val="THSarabunNew"/>
    </font>
    <font>
      <sz val="16"/>
      <color theme="1"/>
      <name val="THSarabunNew"/>
    </font>
    <font>
      <sz val="10"/>
      <color rgb="FF000000"/>
      <name val="THSarabunNew"/>
    </font>
    <font>
      <b/>
      <u/>
      <sz val="12"/>
      <color rgb="FF0070C0"/>
      <name val="THSarabunNew"/>
    </font>
    <font>
      <b/>
      <sz val="10"/>
      <name val="THSarabunNew"/>
    </font>
    <font>
      <b/>
      <u/>
      <sz val="10"/>
      <color rgb="FF000000"/>
      <name val="THSarabunNew"/>
    </font>
    <font>
      <b/>
      <sz val="10"/>
      <color rgb="FF000000"/>
      <name val="THSarabunNew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6"/>
      <color theme="0"/>
      <name val="THSarabunNew"/>
    </font>
    <font>
      <b/>
      <sz val="16"/>
      <color theme="0"/>
      <name val="THSarabunNew"/>
    </font>
    <font>
      <b/>
      <sz val="16"/>
      <name val="THSarabunNew"/>
    </font>
    <font>
      <b/>
      <sz val="16"/>
      <color theme="1"/>
      <name val="THSarabunNew"/>
    </font>
    <font>
      <sz val="16"/>
      <color rgb="FF006100"/>
      <name val="THSarabunNew"/>
    </font>
    <font>
      <sz val="16"/>
      <color rgb="FF9C5700"/>
      <name val="THSarabunNew"/>
    </font>
    <font>
      <sz val="16"/>
      <color rgb="FFFF0000"/>
      <name val="THSarabunNew"/>
    </font>
    <font>
      <sz val="10"/>
      <color rgb="FFFF0000"/>
      <name val="TH SarabunPSK"/>
      <family val="2"/>
    </font>
    <font>
      <sz val="8"/>
      <color rgb="FFFF0000"/>
      <name val="TH SarabunPSK"/>
      <family val="2"/>
    </font>
    <font>
      <sz val="10"/>
      <color theme="1"/>
      <name val="THSarabunNew"/>
    </font>
    <font>
      <sz val="12"/>
      <color rgb="FF9C0006"/>
      <name val="Calibri"/>
      <family val="2"/>
      <scheme val="minor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C0C0C0"/>
        <bgColor rgb="FFD9D9D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3A3A3A"/>
        <bgColor rgb="FF3A3A3A"/>
      </patternFill>
    </fill>
    <fill>
      <patternFill patternType="solid">
        <fgColor rgb="FFBFBFBF"/>
        <bgColor rgb="FFBFBFBF"/>
      </patternFill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rgb="FFF3F3F3"/>
        <bgColor rgb="FFF3F3F3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">
    <xf numFmtId="0" fontId="0" fillId="0" borderId="0"/>
    <xf numFmtId="0" fontId="2" fillId="0" borderId="0"/>
    <xf numFmtId="0" fontId="4" fillId="0" borderId="0"/>
    <xf numFmtId="0" fontId="6" fillId="0" borderId="0"/>
    <xf numFmtId="0" fontId="1" fillId="0" borderId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31" fillId="15" borderId="0" applyNumberFormat="0" applyBorder="0" applyAlignment="0" applyProtection="0"/>
  </cellStyleXfs>
  <cellXfs count="117">
    <xf numFmtId="0" fontId="0" fillId="0" borderId="0" xfId="0"/>
    <xf numFmtId="0" fontId="3" fillId="0" borderId="0" xfId="2" applyFont="1" applyAlignment="1">
      <alignment horizontal="center"/>
    </xf>
    <xf numFmtId="0" fontId="3" fillId="0" borderId="0" xfId="2" applyFont="1"/>
    <xf numFmtId="0" fontId="5" fillId="0" borderId="0" xfId="3" applyFont="1"/>
    <xf numFmtId="0" fontId="3" fillId="0" borderId="0" xfId="3" applyFont="1"/>
    <xf numFmtId="0" fontId="8" fillId="0" borderId="0" xfId="1" applyFont="1"/>
    <xf numFmtId="0" fontId="9" fillId="0" borderId="0" xfId="1" applyFont="1"/>
    <xf numFmtId="0" fontId="10" fillId="0" borderId="0" xfId="1" applyFont="1"/>
    <xf numFmtId="0" fontId="11" fillId="4" borderId="16" xfId="1" applyFont="1" applyFill="1" applyBorder="1" applyAlignment="1">
      <alignment horizontal="center"/>
    </xf>
    <xf numFmtId="0" fontId="10" fillId="0" borderId="16" xfId="1" applyFont="1" applyBorder="1" applyAlignment="1">
      <alignment horizontal="center"/>
    </xf>
    <xf numFmtId="14" fontId="10" fillId="0" borderId="16" xfId="1" applyNumberFormat="1" applyFont="1" applyBorder="1" applyAlignment="1">
      <alignment vertical="top"/>
    </xf>
    <xf numFmtId="0" fontId="10" fillId="0" borderId="16" xfId="1" applyFont="1" applyBorder="1"/>
    <xf numFmtId="14" fontId="10" fillId="0" borderId="16" xfId="1" applyNumberFormat="1" applyFont="1" applyBorder="1"/>
    <xf numFmtId="0" fontId="13" fillId="0" borderId="0" xfId="0" applyFont="1" applyAlignment="1">
      <alignment vertical="top"/>
    </xf>
    <xf numFmtId="0" fontId="13" fillId="0" borderId="0" xfId="0" applyFont="1"/>
    <xf numFmtId="0" fontId="10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5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horizontal="left" vertical="top"/>
    </xf>
    <xf numFmtId="0" fontId="10" fillId="0" borderId="10" xfId="0" applyFont="1" applyBorder="1" applyAlignment="1">
      <alignment vertical="top"/>
    </xf>
    <xf numFmtId="0" fontId="14" fillId="0" borderId="0" xfId="2" applyFont="1" applyAlignment="1">
      <alignment horizontal="center"/>
    </xf>
    <xf numFmtId="0" fontId="14" fillId="0" borderId="0" xfId="2" applyFont="1"/>
    <xf numFmtId="0" fontId="17" fillId="0" borderId="0" xfId="2" applyFont="1" applyAlignment="1">
      <alignment horizontal="center"/>
    </xf>
    <xf numFmtId="0" fontId="18" fillId="5" borderId="16" xfId="2" applyFont="1" applyFill="1" applyBorder="1" applyAlignment="1">
      <alignment horizontal="left"/>
    </xf>
    <xf numFmtId="0" fontId="14" fillId="5" borderId="16" xfId="2" applyFont="1" applyFill="1" applyBorder="1"/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vertical="center" wrapText="1"/>
    </xf>
    <xf numFmtId="0" fontId="14" fillId="6" borderId="16" xfId="2" applyFont="1" applyFill="1" applyBorder="1"/>
    <xf numFmtId="0" fontId="14" fillId="5" borderId="16" xfId="2" applyFont="1" applyFill="1" applyBorder="1" applyAlignment="1">
      <alignment wrapText="1"/>
    </xf>
    <xf numFmtId="0" fontId="14" fillId="6" borderId="16" xfId="2" applyFont="1" applyFill="1" applyBorder="1" applyAlignment="1">
      <alignment horizontal="right"/>
    </xf>
    <xf numFmtId="0" fontId="14" fillId="0" borderId="15" xfId="2" applyFont="1" applyBorder="1" applyAlignment="1">
      <alignment horizontal="center" vertical="center"/>
    </xf>
    <xf numFmtId="0" fontId="10" fillId="0" borderId="0" xfId="2" applyFont="1"/>
    <xf numFmtId="0" fontId="7" fillId="0" borderId="0" xfId="2" applyFont="1"/>
    <xf numFmtId="0" fontId="10" fillId="0" borderId="0" xfId="3" applyFont="1"/>
    <xf numFmtId="0" fontId="9" fillId="7" borderId="17" xfId="2" applyFont="1" applyFill="1" applyBorder="1" applyAlignment="1">
      <alignment horizontal="center" vertical="center" wrapText="1"/>
    </xf>
    <xf numFmtId="0" fontId="9" fillId="7" borderId="18" xfId="2" applyFont="1" applyFill="1" applyBorder="1" applyAlignment="1">
      <alignment horizontal="center" vertical="center" wrapText="1"/>
    </xf>
    <xf numFmtId="0" fontId="9" fillId="7" borderId="19" xfId="2" applyFont="1" applyFill="1" applyBorder="1" applyAlignment="1">
      <alignment horizontal="center" vertical="center" wrapText="1"/>
    </xf>
    <xf numFmtId="0" fontId="10" fillId="0" borderId="20" xfId="2" applyFont="1" applyBorder="1" applyAlignment="1">
      <alignment horizontal="center" vertical="center" wrapText="1"/>
    </xf>
    <xf numFmtId="0" fontId="10" fillId="0" borderId="16" xfId="2" applyFont="1" applyBorder="1"/>
    <xf numFmtId="0" fontId="10" fillId="0" borderId="21" xfId="2" applyFont="1" applyBorder="1" applyAlignment="1">
      <alignment horizontal="center" vertical="center" wrapText="1"/>
    </xf>
    <xf numFmtId="3" fontId="11" fillId="0" borderId="21" xfId="2" applyNumberFormat="1" applyFont="1" applyBorder="1" applyAlignment="1">
      <alignment horizontal="center" vertical="center" wrapText="1"/>
    </xf>
    <xf numFmtId="15" fontId="10" fillId="0" borderId="0" xfId="0" applyNumberFormat="1" applyFont="1" applyAlignment="1">
      <alignment vertical="top"/>
    </xf>
    <xf numFmtId="14" fontId="10" fillId="0" borderId="0" xfId="0" applyNumberFormat="1" applyFont="1" applyAlignment="1">
      <alignment horizontal="left" vertical="top"/>
    </xf>
    <xf numFmtId="0" fontId="12" fillId="0" borderId="0" xfId="0" applyFont="1"/>
    <xf numFmtId="0" fontId="12" fillId="0" borderId="5" xfId="0" applyFont="1" applyBorder="1"/>
    <xf numFmtId="0" fontId="10" fillId="0" borderId="16" xfId="1" applyFont="1" applyBorder="1" applyAlignment="1">
      <alignment horizontal="center" vertical="top"/>
    </xf>
    <xf numFmtId="14" fontId="10" fillId="0" borderId="16" xfId="1" applyNumberFormat="1" applyFont="1" applyBorder="1" applyAlignment="1">
      <alignment horizontal="right"/>
    </xf>
    <xf numFmtId="0" fontId="12" fillId="0" borderId="0" xfId="0" applyFont="1" applyAlignment="1">
      <alignment vertical="top"/>
    </xf>
    <xf numFmtId="0" fontId="21" fillId="10" borderId="11" xfId="0" applyFont="1" applyFill="1" applyBorder="1" applyAlignment="1">
      <alignment horizontal="center" vertical="center"/>
    </xf>
    <xf numFmtId="0" fontId="22" fillId="10" borderId="11" xfId="0" applyFont="1" applyFill="1" applyBorder="1" applyAlignment="1">
      <alignment horizontal="center" vertical="center" wrapText="1"/>
    </xf>
    <xf numFmtId="0" fontId="23" fillId="13" borderId="11" xfId="0" applyFont="1" applyFill="1" applyBorder="1" applyAlignment="1">
      <alignment horizontal="center" vertical="center" wrapText="1"/>
    </xf>
    <xf numFmtId="0" fontId="24" fillId="14" borderId="11" xfId="0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center" vertical="top"/>
    </xf>
    <xf numFmtId="0" fontId="13" fillId="12" borderId="11" xfId="0" applyFont="1" applyFill="1" applyBorder="1" applyAlignment="1">
      <alignment horizontal="center" vertical="top"/>
    </xf>
    <xf numFmtId="0" fontId="13" fillId="12" borderId="11" xfId="0" applyFont="1" applyFill="1" applyBorder="1" applyAlignment="1">
      <alignment horizontal="left" vertical="top" wrapText="1"/>
    </xf>
    <xf numFmtId="0" fontId="25" fillId="8" borderId="11" xfId="5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9" fillId="11" borderId="0" xfId="0" applyFont="1" applyFill="1" applyAlignment="1">
      <alignment horizontal="center" vertical="top"/>
    </xf>
    <xf numFmtId="0" fontId="12" fillId="0" borderId="11" xfId="0" applyFont="1" applyBorder="1" applyAlignment="1">
      <alignment horizontal="left" vertical="top" wrapText="1"/>
    </xf>
    <xf numFmtId="0" fontId="26" fillId="9" borderId="11" xfId="6" applyFont="1" applyBorder="1" applyAlignment="1">
      <alignment horizontal="left" vertical="top" wrapText="1"/>
    </xf>
    <xf numFmtId="0" fontId="12" fillId="0" borderId="23" xfId="0" applyFont="1" applyBorder="1" applyAlignment="1">
      <alignment horizontal="left" vertical="top" wrapText="1"/>
    </xf>
    <xf numFmtId="0" fontId="12" fillId="0" borderId="11" xfId="0" quotePrefix="1" applyFont="1" applyBorder="1" applyAlignment="1">
      <alignment horizontal="left" vertical="top" wrapText="1"/>
    </xf>
    <xf numFmtId="0" fontId="13" fillId="12" borderId="11" xfId="0" applyFont="1" applyFill="1" applyBorder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27" fillId="0" borderId="0" xfId="0" applyFont="1" applyAlignment="1">
      <alignment vertical="top"/>
    </xf>
    <xf numFmtId="0" fontId="28" fillId="0" borderId="0" xfId="3" applyFont="1"/>
    <xf numFmtId="0" fontId="28" fillId="0" borderId="0" xfId="3" applyFont="1" applyAlignment="1">
      <alignment wrapText="1"/>
    </xf>
    <xf numFmtId="0" fontId="29" fillId="0" borderId="0" xfId="3" applyFont="1" applyAlignment="1">
      <alignment wrapText="1"/>
    </xf>
    <xf numFmtId="0" fontId="13" fillId="0" borderId="22" xfId="0" applyFont="1" applyBorder="1" applyAlignment="1">
      <alignment horizontal="left" vertical="top" wrapText="1"/>
    </xf>
    <xf numFmtId="0" fontId="30" fillId="0" borderId="0" xfId="2" applyFont="1" applyAlignment="1">
      <alignment vertical="center" wrapText="1"/>
    </xf>
    <xf numFmtId="0" fontId="14" fillId="0" borderId="15" xfId="2" applyFont="1" applyBorder="1" applyAlignment="1">
      <alignment horizontal="left" vertical="center"/>
    </xf>
    <xf numFmtId="2" fontId="10" fillId="0" borderId="21" xfId="2" applyNumberFormat="1" applyFont="1" applyBorder="1" applyAlignment="1">
      <alignment horizontal="center" vertical="center" wrapText="1"/>
    </xf>
    <xf numFmtId="2" fontId="11" fillId="0" borderId="21" xfId="2" applyNumberFormat="1" applyFont="1" applyBorder="1" applyAlignment="1">
      <alignment horizontal="center" vertical="center" wrapText="1"/>
    </xf>
    <xf numFmtId="0" fontId="19" fillId="0" borderId="11" xfId="5" applyFill="1" applyBorder="1" applyAlignment="1">
      <alignment horizontal="left" vertical="top" wrapText="1"/>
    </xf>
    <xf numFmtId="0" fontId="9" fillId="11" borderId="22" xfId="0" applyFont="1" applyFill="1" applyBorder="1" applyAlignment="1">
      <alignment vertical="center" wrapText="1"/>
    </xf>
    <xf numFmtId="0" fontId="9" fillId="11" borderId="23" xfId="0" applyFont="1" applyFill="1" applyBorder="1" applyAlignment="1">
      <alignment vertical="center" wrapText="1"/>
    </xf>
    <xf numFmtId="0" fontId="9" fillId="11" borderId="24" xfId="0" applyFont="1" applyFill="1" applyBorder="1" applyAlignment="1">
      <alignment vertical="center" wrapText="1"/>
    </xf>
    <xf numFmtId="0" fontId="32" fillId="0" borderId="11" xfId="7" applyFont="1" applyFill="1" applyBorder="1" applyAlignment="1">
      <alignment horizontal="left" vertical="top" wrapText="1"/>
    </xf>
    <xf numFmtId="0" fontId="10" fillId="3" borderId="12" xfId="1" applyFont="1" applyFill="1" applyBorder="1" applyAlignment="1">
      <alignment horizontal="center"/>
    </xf>
    <xf numFmtId="0" fontId="10" fillId="3" borderId="13" xfId="1" applyFont="1" applyFill="1" applyBorder="1" applyAlignment="1">
      <alignment horizontal="center"/>
    </xf>
    <xf numFmtId="0" fontId="10" fillId="3" borderId="14" xfId="1" applyFont="1" applyFill="1" applyBorder="1" applyAlignment="1">
      <alignment horizontal="center"/>
    </xf>
    <xf numFmtId="0" fontId="10" fillId="0" borderId="15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10" fillId="0" borderId="12" xfId="1" applyFont="1" applyBorder="1" applyAlignment="1">
      <alignment horizontal="left"/>
    </xf>
    <xf numFmtId="0" fontId="10" fillId="0" borderId="14" xfId="1" applyFont="1" applyBorder="1" applyAlignment="1">
      <alignment horizontal="left"/>
    </xf>
    <xf numFmtId="0" fontId="11" fillId="4" borderId="12" xfId="1" applyFont="1" applyFill="1" applyBorder="1" applyAlignment="1">
      <alignment horizontal="center"/>
    </xf>
    <xf numFmtId="0" fontId="11" fillId="4" borderId="14" xfId="1" applyFont="1" applyFill="1" applyBorder="1" applyAlignment="1">
      <alignment horizontal="center"/>
    </xf>
    <xf numFmtId="0" fontId="10" fillId="0" borderId="12" xfId="1" applyFont="1" applyBorder="1" applyAlignment="1">
      <alignment horizontal="left" vertical="center" wrapText="1"/>
    </xf>
    <xf numFmtId="0" fontId="10" fillId="0" borderId="14" xfId="1" applyFont="1" applyBorder="1" applyAlignment="1">
      <alignment horizontal="left" vertical="center" wrapText="1"/>
    </xf>
    <xf numFmtId="0" fontId="9" fillId="0" borderId="0" xfId="1" applyFont="1" applyAlignment="1">
      <alignment horizontal="center"/>
    </xf>
    <xf numFmtId="0" fontId="10" fillId="0" borderId="6" xfId="0" applyFont="1" applyBorder="1" applyAlignment="1">
      <alignment horizontal="left" vertical="top"/>
    </xf>
    <xf numFmtId="0" fontId="12" fillId="0" borderId="6" xfId="0" applyFont="1" applyBorder="1"/>
    <xf numFmtId="0" fontId="12" fillId="0" borderId="7" xfId="0" applyFont="1" applyBorder="1"/>
    <xf numFmtId="0" fontId="9" fillId="2" borderId="1" xfId="0" applyFont="1" applyFill="1" applyBorder="1" applyAlignment="1">
      <alignment horizontal="center" vertical="top"/>
    </xf>
    <xf numFmtId="0" fontId="12" fillId="0" borderId="2" xfId="0" applyFont="1" applyBorder="1"/>
    <xf numFmtId="0" fontId="12" fillId="0" borderId="3" xfId="0" applyFont="1" applyBorder="1"/>
    <xf numFmtId="0" fontId="10" fillId="0" borderId="4" xfId="0" applyFont="1" applyBorder="1" applyAlignment="1">
      <alignment horizontal="left" vertical="top"/>
    </xf>
    <xf numFmtId="0" fontId="13" fillId="0" borderId="0" xfId="0" applyFont="1"/>
    <xf numFmtId="0" fontId="10" fillId="0" borderId="6" xfId="0" applyFont="1" applyBorder="1" applyAlignment="1">
      <alignment horizontal="left" vertical="top" wrapText="1"/>
    </xf>
    <xf numFmtId="164" fontId="10" fillId="0" borderId="6" xfId="0" applyNumberFormat="1" applyFont="1" applyBorder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9" fillId="11" borderId="22" xfId="0" applyFont="1" applyFill="1" applyBorder="1" applyAlignment="1">
      <alignment horizontal="left"/>
    </xf>
    <xf numFmtId="0" fontId="12" fillId="0" borderId="23" xfId="0" applyFont="1" applyBorder="1"/>
    <xf numFmtId="0" fontId="12" fillId="0" borderId="24" xfId="0" applyFont="1" applyBorder="1"/>
    <xf numFmtId="0" fontId="9" fillId="11" borderId="22" xfId="0" applyFont="1" applyFill="1" applyBorder="1" applyAlignment="1">
      <alignment horizontal="left" vertical="center" wrapText="1"/>
    </xf>
    <xf numFmtId="0" fontId="9" fillId="11" borderId="23" xfId="0" applyFont="1" applyFill="1" applyBorder="1" applyAlignment="1">
      <alignment horizontal="left" vertical="center" wrapText="1"/>
    </xf>
    <xf numFmtId="0" fontId="9" fillId="11" borderId="24" xfId="0" applyFont="1" applyFill="1" applyBorder="1" applyAlignment="1">
      <alignment horizontal="left" vertical="center" wrapText="1"/>
    </xf>
    <xf numFmtId="0" fontId="9" fillId="11" borderId="26" xfId="0" applyFont="1" applyFill="1" applyBorder="1" applyAlignment="1">
      <alignment horizontal="left" vertical="center" wrapText="1"/>
    </xf>
    <xf numFmtId="0" fontId="16" fillId="0" borderId="0" xfId="2" applyFont="1" applyAlignment="1">
      <alignment horizontal="center"/>
    </xf>
    <xf numFmtId="0" fontId="15" fillId="0" borderId="0" xfId="2" applyFont="1" applyAlignment="1">
      <alignment horizontal="center"/>
    </xf>
    <xf numFmtId="0" fontId="11" fillId="0" borderId="17" xfId="2" applyFont="1" applyBorder="1" applyAlignment="1">
      <alignment horizontal="center" vertical="center" wrapText="1"/>
    </xf>
    <xf numFmtId="0" fontId="13" fillId="0" borderId="25" xfId="0" applyFont="1" applyBorder="1" applyAlignment="1">
      <alignment wrapText="1"/>
    </xf>
  </cellXfs>
  <cellStyles count="8">
    <cellStyle name="Bad" xfId="7" builtinId="27"/>
    <cellStyle name="Good" xfId="5" builtinId="26"/>
    <cellStyle name="Neutral" xfId="6" builtinId="28"/>
    <cellStyle name="Normal" xfId="0" builtinId="0"/>
    <cellStyle name="Normal 2" xfId="1" xr:uid="{00000000-0005-0000-0000-000001000000}"/>
    <cellStyle name="Normal 2 2" xfId="4" xr:uid="{CD3168A3-53AC-7D4B-A3AC-54D50AFC089A}"/>
    <cellStyle name="Normal 3" xfId="3" xr:uid="{00000000-0005-0000-0000-000002000000}"/>
    <cellStyle name="TableStyleLight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00FFFF"/>
            </a:solidFill>
            <a:ln w="12600">
              <a:solidFill>
                <a:srgbClr val="000000"/>
              </a:solidFill>
              <a:round/>
            </a:ln>
          </c:spPr>
          <c:val>
            <c:numRef>
              <c:f>สรุปผล!$E$4:$E$12</c:f>
              <c:numCache>
                <c:formatCode>0.00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9-484D-9C55-7417B0A1A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4272"/>
        <c:axId val="9115360"/>
      </c:radarChart>
      <c:catAx>
        <c:axId val="9114272"/>
        <c:scaling>
          <c:orientation val="maxMin"/>
        </c:scaling>
        <c:delete val="0"/>
        <c:axPos val="b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crossAx val="9115360"/>
        <c:crossesAt val="0"/>
        <c:auto val="0"/>
        <c:lblAlgn val="ctr"/>
        <c:lblOffset val="100"/>
        <c:noMultiLvlLbl val="0"/>
      </c:catAx>
      <c:valAx>
        <c:axId val="9115360"/>
        <c:scaling>
          <c:orientation val="minMax"/>
        </c:scaling>
        <c:delete val="0"/>
        <c:axPos val="l"/>
        <c:numFmt formatCode="0.00" sourceLinked="1"/>
        <c:majorTickMark val="cross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crossAx val="9114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1</xdr:col>
      <xdr:colOff>595996</xdr:colOff>
      <xdr:row>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990600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571501</xdr:colOff>
      <xdr:row>1</xdr:row>
      <xdr:rowOff>114301</xdr:rowOff>
    </xdr:from>
    <xdr:to>
      <xdr:col>4</xdr:col>
      <xdr:colOff>1587501</xdr:colOff>
      <xdr:row>3</xdr:row>
      <xdr:rowOff>57191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8859E5-BE8E-206D-EFB6-6AFF5BC4B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1" y="330201"/>
          <a:ext cx="1016000" cy="4635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411692</xdr:colOff>
      <xdr:row>1</xdr:row>
      <xdr:rowOff>221545</xdr:rowOff>
    </xdr:from>
    <xdr:to>
      <xdr:col>13</xdr:col>
      <xdr:colOff>125942</xdr:colOff>
      <xdr:row>13</xdr:row>
      <xdr:rowOff>99131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M19"/>
  <sheetViews>
    <sheetView zoomScale="115" zoomScaleNormal="115" workbookViewId="0">
      <selection activeCell="C10" sqref="C10"/>
    </sheetView>
  </sheetViews>
  <sheetFormatPr defaultColWidth="9" defaultRowHeight="14.25"/>
  <cols>
    <col min="1" max="1" width="7" style="5" customWidth="1"/>
    <col min="2" max="2" width="13.375" style="5" customWidth="1"/>
    <col min="3" max="3" width="25.375" style="5" customWidth="1"/>
    <col min="4" max="4" width="18.5" style="5" bestFit="1" customWidth="1"/>
    <col min="5" max="5" width="21.5" style="5" customWidth="1"/>
    <col min="6" max="16384" width="9" style="5"/>
  </cols>
  <sheetData>
    <row r="3" spans="1:13" ht="20.25">
      <c r="A3" s="86" t="s">
        <v>20</v>
      </c>
      <c r="B3" s="86"/>
      <c r="C3" s="86"/>
      <c r="D3" s="86"/>
      <c r="E3" s="86"/>
    </row>
    <row r="6" spans="1:13" ht="20.25">
      <c r="A6" s="93" t="s">
        <v>154</v>
      </c>
      <c r="B6" s="93"/>
      <c r="C6" s="93"/>
      <c r="D6" s="93"/>
      <c r="E6" s="93"/>
    </row>
    <row r="8" spans="1:13" ht="15" thickBot="1"/>
    <row r="9" spans="1:13" ht="21" thickBot="1">
      <c r="A9" s="6" t="s">
        <v>51</v>
      </c>
      <c r="B9" s="7"/>
      <c r="C9" s="82"/>
      <c r="D9" s="83"/>
      <c r="E9" s="84"/>
      <c r="F9" s="7"/>
      <c r="G9" s="7"/>
    </row>
    <row r="10" spans="1:13" ht="2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21" thickBot="1">
      <c r="A11" s="6" t="s">
        <v>21</v>
      </c>
      <c r="B11" s="7"/>
      <c r="C11" s="85"/>
      <c r="D11" s="85"/>
      <c r="E11" s="85"/>
      <c r="F11" s="7"/>
      <c r="G11" s="7"/>
      <c r="H11" s="7"/>
      <c r="I11" s="7"/>
      <c r="J11" s="7"/>
      <c r="K11" s="7"/>
      <c r="L11" s="7"/>
      <c r="M11" s="7"/>
    </row>
    <row r="12" spans="1:13" ht="21" thickBot="1">
      <c r="F12" s="7"/>
    </row>
    <row r="13" spans="1:13" ht="21" thickBot="1">
      <c r="A13" s="8" t="s">
        <v>22</v>
      </c>
      <c r="B13" s="89" t="s">
        <v>23</v>
      </c>
      <c r="C13" s="90"/>
      <c r="D13" s="8" t="s">
        <v>24</v>
      </c>
      <c r="E13" s="8" t="s">
        <v>25</v>
      </c>
    </row>
    <row r="14" spans="1:13" ht="21" thickBot="1">
      <c r="A14" s="48">
        <v>1</v>
      </c>
      <c r="B14" s="91" t="s">
        <v>26</v>
      </c>
      <c r="C14" s="92"/>
      <c r="D14" s="10"/>
      <c r="E14" s="11"/>
    </row>
    <row r="15" spans="1:13" ht="21" thickBot="1">
      <c r="A15" s="9">
        <v>2</v>
      </c>
      <c r="B15" s="87" t="s">
        <v>27</v>
      </c>
      <c r="C15" s="88"/>
      <c r="D15" s="10"/>
      <c r="E15" s="11"/>
    </row>
    <row r="16" spans="1:13" ht="21" thickBot="1">
      <c r="A16" s="9">
        <v>3</v>
      </c>
      <c r="B16" s="87" t="s">
        <v>28</v>
      </c>
      <c r="C16" s="88"/>
      <c r="D16" s="49"/>
      <c r="E16" s="11"/>
    </row>
    <row r="17" spans="1:5" ht="21" thickBot="1">
      <c r="A17" s="9">
        <v>4</v>
      </c>
      <c r="B17" s="87" t="s">
        <v>29</v>
      </c>
      <c r="C17" s="88"/>
      <c r="D17" s="49"/>
      <c r="E17" s="11"/>
    </row>
    <row r="18" spans="1:5" ht="21" thickBot="1">
      <c r="A18" s="9">
        <v>5</v>
      </c>
      <c r="B18" s="87" t="s">
        <v>50</v>
      </c>
      <c r="C18" s="88"/>
      <c r="D18" s="49"/>
      <c r="E18" s="11"/>
    </row>
    <row r="19" spans="1:5" ht="21" thickBot="1">
      <c r="A19" s="9">
        <v>6</v>
      </c>
      <c r="B19" s="87" t="s">
        <v>30</v>
      </c>
      <c r="C19" s="88"/>
      <c r="D19" s="12"/>
      <c r="E19" s="11"/>
    </row>
  </sheetData>
  <mergeCells count="11">
    <mergeCell ref="C9:E9"/>
    <mergeCell ref="C11:E11"/>
    <mergeCell ref="A3:E3"/>
    <mergeCell ref="B19:C19"/>
    <mergeCell ref="B18:C18"/>
    <mergeCell ref="B13:C13"/>
    <mergeCell ref="B14:C14"/>
    <mergeCell ref="B15:C15"/>
    <mergeCell ref="B16:C16"/>
    <mergeCell ref="B17:C17"/>
    <mergeCell ref="A6:E6"/>
  </mergeCells>
  <pageMargins left="0.7" right="0.7" top="0.75" bottom="0.75" header="0.3" footer="0.3"/>
  <pageSetup paperSize="10" scale="96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Z980"/>
  <sheetViews>
    <sheetView topLeftCell="A7" zoomScaleNormal="100" workbookViewId="0">
      <selection activeCell="E9" sqref="E9:I9"/>
    </sheetView>
  </sheetViews>
  <sheetFormatPr defaultColWidth="12.5" defaultRowHeight="20.25"/>
  <cols>
    <col min="1" max="2" width="13" style="14" customWidth="1"/>
    <col min="3" max="3" width="34.875" style="14" customWidth="1"/>
    <col min="4" max="4" width="3.5" style="14" customWidth="1"/>
    <col min="5" max="8" width="14" style="14" customWidth="1"/>
    <col min="9" max="9" width="20" style="14" customWidth="1"/>
    <col min="10" max="26" width="13" style="14" customWidth="1"/>
    <col min="27" max="16384" width="12.5" style="14"/>
  </cols>
  <sheetData>
    <row r="1" spans="1:26">
      <c r="A1" s="97" t="s">
        <v>53</v>
      </c>
      <c r="B1" s="98"/>
      <c r="C1" s="98"/>
      <c r="D1" s="98"/>
      <c r="E1" s="98"/>
      <c r="F1" s="98"/>
      <c r="G1" s="98"/>
      <c r="H1" s="98"/>
      <c r="I1" s="99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5"/>
      <c r="B2" s="16"/>
      <c r="C2" s="16"/>
      <c r="D2" s="16"/>
      <c r="E2" s="17"/>
      <c r="F2" s="16"/>
      <c r="G2" s="16"/>
      <c r="H2" s="16"/>
      <c r="I2" s="18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00" t="s">
        <v>0</v>
      </c>
      <c r="B3" s="101"/>
      <c r="C3" s="101"/>
      <c r="D3" s="16"/>
      <c r="E3" s="102" t="s">
        <v>156</v>
      </c>
      <c r="F3" s="95"/>
      <c r="G3" s="95"/>
      <c r="H3" s="95"/>
      <c r="I3" s="96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15"/>
      <c r="B4" s="16"/>
      <c r="C4" s="16"/>
      <c r="D4" s="16"/>
      <c r="E4" s="17"/>
      <c r="F4" s="16"/>
      <c r="G4" s="16"/>
      <c r="H4" s="16"/>
      <c r="I4" s="18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>
      <c r="A5" s="15" t="s">
        <v>1</v>
      </c>
      <c r="B5" s="16"/>
      <c r="C5" s="16"/>
      <c r="D5" s="16"/>
      <c r="E5" s="104" t="s">
        <v>157</v>
      </c>
      <c r="F5" s="104"/>
      <c r="G5" s="104"/>
      <c r="H5" s="104"/>
      <c r="I5" s="105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0.25" customHeight="1">
      <c r="A6" s="15"/>
      <c r="B6" s="16"/>
      <c r="C6" s="16"/>
      <c r="D6" s="16"/>
      <c r="E6" s="104"/>
      <c r="F6" s="104"/>
      <c r="G6" s="104"/>
      <c r="H6" s="104"/>
      <c r="I6" s="105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>
      <c r="A7" s="15"/>
      <c r="B7" s="16"/>
      <c r="C7" s="16"/>
      <c r="D7" s="16"/>
      <c r="E7" s="104"/>
      <c r="F7" s="104"/>
      <c r="G7" s="104"/>
      <c r="H7" s="104"/>
      <c r="I7" s="105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67.5" customHeight="1">
      <c r="A8" s="15"/>
      <c r="B8" s="16"/>
      <c r="C8" s="16"/>
      <c r="D8" s="16"/>
      <c r="E8" s="104"/>
      <c r="F8" s="104"/>
      <c r="G8" s="104"/>
      <c r="H8" s="104"/>
      <c r="I8" s="10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100" t="s">
        <v>2</v>
      </c>
      <c r="B9" s="101"/>
      <c r="C9" s="101"/>
      <c r="D9" s="44"/>
      <c r="E9" s="103" t="s">
        <v>158</v>
      </c>
      <c r="F9" s="95"/>
      <c r="G9" s="95"/>
      <c r="H9" s="95"/>
      <c r="I9" s="96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>
      <c r="A10" s="15"/>
      <c r="B10" s="16"/>
      <c r="C10" s="16"/>
      <c r="D10" s="16"/>
      <c r="E10" s="45"/>
      <c r="F10" s="16"/>
      <c r="G10" s="16"/>
      <c r="H10" s="16"/>
      <c r="I10" s="18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100" t="s">
        <v>3</v>
      </c>
      <c r="B11" s="101"/>
      <c r="C11" s="101"/>
      <c r="D11" s="44"/>
      <c r="E11" s="103" t="s">
        <v>159</v>
      </c>
      <c r="F11" s="95"/>
      <c r="G11" s="95"/>
      <c r="H11" s="95"/>
      <c r="I11" s="96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>
      <c r="A12" s="15"/>
      <c r="B12" s="16"/>
      <c r="C12" s="16"/>
      <c r="D12" s="16"/>
      <c r="E12" s="17"/>
      <c r="F12" s="16"/>
      <c r="G12" s="16"/>
      <c r="H12" s="16"/>
      <c r="I12" s="18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100" t="s">
        <v>4</v>
      </c>
      <c r="B13" s="101"/>
      <c r="C13" s="101"/>
      <c r="D13" s="16"/>
      <c r="E13" s="94" t="s">
        <v>160</v>
      </c>
      <c r="F13" s="95"/>
      <c r="G13" s="95"/>
      <c r="H13" s="95"/>
      <c r="I13" s="96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15"/>
      <c r="B14" s="16"/>
      <c r="C14" s="16"/>
      <c r="D14" s="16"/>
      <c r="E14" s="17"/>
      <c r="F14" s="16"/>
      <c r="G14" s="16"/>
      <c r="H14" s="16"/>
      <c r="I14" s="18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15" t="s">
        <v>5</v>
      </c>
      <c r="B15" s="16"/>
      <c r="C15" s="16"/>
      <c r="D15" s="16"/>
      <c r="E15" s="94">
        <v>10</v>
      </c>
      <c r="F15" s="95"/>
      <c r="G15" s="95"/>
      <c r="H15" s="95"/>
      <c r="I15" s="96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5"/>
      <c r="B16" s="16"/>
      <c r="C16" s="16"/>
      <c r="D16" s="16"/>
      <c r="E16" s="17"/>
      <c r="F16" s="16"/>
      <c r="G16" s="16"/>
      <c r="H16" s="16"/>
      <c r="I16" s="18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100" t="s">
        <v>6</v>
      </c>
      <c r="B17" s="101"/>
      <c r="C17" s="101"/>
      <c r="D17" s="16"/>
      <c r="E17" s="94"/>
      <c r="F17" s="95"/>
      <c r="G17" s="95"/>
      <c r="H17" s="95"/>
      <c r="I17" s="96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5" t="s">
        <v>7</v>
      </c>
      <c r="B18" s="16"/>
      <c r="C18" s="16"/>
      <c r="D18" s="16"/>
      <c r="E18" s="94" t="s">
        <v>161</v>
      </c>
      <c r="F18" s="95"/>
      <c r="G18" s="95"/>
      <c r="H18" s="95"/>
      <c r="I18" s="96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5"/>
      <c r="B19" s="16"/>
      <c r="C19" s="16"/>
      <c r="D19" s="16"/>
      <c r="E19" s="94"/>
      <c r="F19" s="95"/>
      <c r="G19" s="95"/>
      <c r="H19" s="95"/>
      <c r="I19" s="96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5"/>
      <c r="B20" s="16"/>
      <c r="C20" s="16"/>
      <c r="D20" s="16"/>
      <c r="E20" s="94"/>
      <c r="F20" s="95"/>
      <c r="G20" s="95"/>
      <c r="H20" s="95"/>
      <c r="I20" s="96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5"/>
      <c r="B21" s="16"/>
      <c r="C21" s="16"/>
      <c r="D21" s="16"/>
      <c r="E21" s="17"/>
      <c r="F21" s="46"/>
      <c r="G21" s="46"/>
      <c r="H21" s="46"/>
      <c r="I21" s="47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9"/>
      <c r="B22" s="20"/>
      <c r="C22" s="20"/>
      <c r="D22" s="20"/>
      <c r="E22" s="21"/>
      <c r="F22" s="20"/>
      <c r="G22" s="20"/>
      <c r="H22" s="20"/>
      <c r="I22" s="2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</sheetData>
  <mergeCells count="16">
    <mergeCell ref="E20:I20"/>
    <mergeCell ref="A1:I1"/>
    <mergeCell ref="A3:C3"/>
    <mergeCell ref="E3:I3"/>
    <mergeCell ref="E18:I18"/>
    <mergeCell ref="E19:I19"/>
    <mergeCell ref="A9:C9"/>
    <mergeCell ref="A11:C11"/>
    <mergeCell ref="A13:C13"/>
    <mergeCell ref="A17:C17"/>
    <mergeCell ref="E9:I9"/>
    <mergeCell ref="E11:I11"/>
    <mergeCell ref="E5:I8"/>
    <mergeCell ref="E13:I13"/>
    <mergeCell ref="E15:I15"/>
    <mergeCell ref="E17:I17"/>
  </mergeCells>
  <pageMargins left="0.7" right="0.7" top="0.75" bottom="0.75" header="0.3" footer="0.3"/>
  <pageSetup paperSize="10" scale="8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Z1015"/>
  <sheetViews>
    <sheetView tabSelected="1" zoomScale="70" zoomScaleNormal="70" workbookViewId="0">
      <pane xSplit="2" ySplit="1" topLeftCell="C41" activePane="bottomRight" state="frozen"/>
      <selection activeCell="D23" sqref="D23"/>
      <selection pane="topRight" activeCell="D23" sqref="D23"/>
      <selection pane="bottomLeft" activeCell="D23" sqref="D23"/>
      <selection pane="bottomRight" activeCell="C53" sqref="C53"/>
    </sheetView>
  </sheetViews>
  <sheetFormatPr defaultColWidth="12.5" defaultRowHeight="20.25"/>
  <cols>
    <col min="1" max="1" width="8.625" style="14" customWidth="1"/>
    <col min="2" max="2" width="43.625" style="14" bestFit="1" customWidth="1"/>
    <col min="3" max="3" width="57.5" style="14" customWidth="1"/>
    <col min="4" max="4" width="60.625" style="14" customWidth="1"/>
    <col min="5" max="26" width="10.875" style="14" customWidth="1"/>
    <col min="27" max="16384" width="12.5" style="14"/>
  </cols>
  <sheetData>
    <row r="1" spans="1:26">
      <c r="A1" s="51"/>
      <c r="B1" s="52" t="s">
        <v>54</v>
      </c>
      <c r="C1" s="53" t="s">
        <v>60</v>
      </c>
      <c r="D1" s="54" t="s">
        <v>61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4" customHeight="1">
      <c r="A2" s="55">
        <v>1</v>
      </c>
      <c r="B2" s="109" t="s">
        <v>55</v>
      </c>
      <c r="C2" s="110"/>
      <c r="D2" s="111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0.5">
      <c r="A3" s="56" t="s">
        <v>68</v>
      </c>
      <c r="B3" s="57" t="s">
        <v>58</v>
      </c>
      <c r="C3" s="81" t="s">
        <v>164</v>
      </c>
      <c r="D3" s="59" t="s">
        <v>195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4" customHeight="1">
      <c r="A4" s="60">
        <v>2</v>
      </c>
      <c r="B4" s="78" t="s">
        <v>56</v>
      </c>
      <c r="C4" s="79"/>
      <c r="D4" s="80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7" customHeight="1">
      <c r="A5" s="56"/>
      <c r="B5" s="57" t="s">
        <v>57</v>
      </c>
      <c r="C5" s="77" t="s">
        <v>165</v>
      </c>
      <c r="D5" s="59" t="s">
        <v>196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40.5">
      <c r="A6" s="56"/>
      <c r="B6" s="57" t="s">
        <v>105</v>
      </c>
      <c r="C6" s="61" t="s">
        <v>165</v>
      </c>
      <c r="D6" s="59" t="s">
        <v>196</v>
      </c>
      <c r="E6" s="68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40.5">
      <c r="A7" s="56" t="s">
        <v>76</v>
      </c>
      <c r="B7" s="57" t="s">
        <v>97</v>
      </c>
      <c r="C7" s="61" t="s">
        <v>165</v>
      </c>
      <c r="D7" s="59" t="s">
        <v>196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40.5">
      <c r="A8" s="56" t="s">
        <v>86</v>
      </c>
      <c r="B8" s="58" t="s">
        <v>66</v>
      </c>
      <c r="C8" s="61" t="s">
        <v>169</v>
      </c>
      <c r="D8" s="59" t="s">
        <v>196</v>
      </c>
      <c r="E8" s="68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40.5">
      <c r="A9" s="56" t="s">
        <v>73</v>
      </c>
      <c r="B9" s="57" t="s">
        <v>11</v>
      </c>
      <c r="C9" s="61" t="s">
        <v>184</v>
      </c>
      <c r="D9" s="59" t="s">
        <v>196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40.5">
      <c r="A10" s="56" t="s">
        <v>77</v>
      </c>
      <c r="B10" s="62" t="s">
        <v>13</v>
      </c>
      <c r="C10" s="61" t="s">
        <v>162</v>
      </c>
      <c r="D10" s="59" t="s">
        <v>197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4" customHeight="1">
      <c r="A11" s="55">
        <v>3</v>
      </c>
      <c r="B11" s="109" t="s">
        <v>95</v>
      </c>
      <c r="C11" s="110"/>
      <c r="D11" s="111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40.5">
      <c r="A12" s="56" t="s">
        <v>71</v>
      </c>
      <c r="B12" s="57" t="s">
        <v>89</v>
      </c>
      <c r="C12" s="61" t="s">
        <v>166</v>
      </c>
      <c r="D12" s="59" t="s">
        <v>198</v>
      </c>
      <c r="E12" s="68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4" customHeight="1">
      <c r="A13" s="55">
        <v>4</v>
      </c>
      <c r="B13" s="109" t="s">
        <v>37</v>
      </c>
      <c r="C13" s="110"/>
      <c r="D13" s="111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40.5">
      <c r="A14" s="56" t="s">
        <v>79</v>
      </c>
      <c r="B14" s="57" t="s">
        <v>94</v>
      </c>
      <c r="C14" s="61" t="s">
        <v>185</v>
      </c>
      <c r="D14" s="59" t="s">
        <v>199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40.5">
      <c r="A15" s="56" t="s">
        <v>87</v>
      </c>
      <c r="B15" s="58" t="s">
        <v>59</v>
      </c>
      <c r="C15" s="61" t="s">
        <v>186</v>
      </c>
      <c r="D15" s="59" t="s">
        <v>199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40.5">
      <c r="A16" s="56" t="s">
        <v>86</v>
      </c>
      <c r="B16" s="58" t="s">
        <v>66</v>
      </c>
      <c r="C16" s="61" t="s">
        <v>187</v>
      </c>
      <c r="D16" s="59" t="s">
        <v>199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4" customHeight="1">
      <c r="A17" s="55">
        <v>5</v>
      </c>
      <c r="B17" s="109" t="s">
        <v>62</v>
      </c>
      <c r="C17" s="110"/>
      <c r="D17" s="111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40.5">
      <c r="A18" s="56" t="s">
        <v>98</v>
      </c>
      <c r="B18" s="57" t="s">
        <v>100</v>
      </c>
      <c r="C18" s="61" t="s">
        <v>185</v>
      </c>
      <c r="D18" s="59" t="s">
        <v>199</v>
      </c>
      <c r="E18" s="68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40.5">
      <c r="A19" s="56"/>
      <c r="B19" s="57"/>
      <c r="C19" s="61" t="s">
        <v>155</v>
      </c>
      <c r="D19" s="59" t="s">
        <v>199</v>
      </c>
      <c r="E19" s="68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40.5">
      <c r="A20" s="56" t="s">
        <v>87</v>
      </c>
      <c r="B20" s="58" t="s">
        <v>59</v>
      </c>
      <c r="C20" s="61" t="s">
        <v>186</v>
      </c>
      <c r="D20" s="59" t="s">
        <v>199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6.1" customHeight="1">
      <c r="A21" s="55">
        <v>6</v>
      </c>
      <c r="B21" s="109" t="s">
        <v>63</v>
      </c>
      <c r="C21" s="110"/>
      <c r="D21" s="111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40.5">
      <c r="A22" s="56" t="s">
        <v>99</v>
      </c>
      <c r="B22" s="62" t="s">
        <v>16</v>
      </c>
      <c r="C22" s="64" t="s">
        <v>168</v>
      </c>
      <c r="D22" s="59" t="s">
        <v>194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40.5">
      <c r="A23" s="56" t="s">
        <v>80</v>
      </c>
      <c r="B23" s="62" t="s">
        <v>15</v>
      </c>
      <c r="C23" s="64" t="s">
        <v>167</v>
      </c>
      <c r="D23" s="59" t="s">
        <v>194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4" customHeight="1">
      <c r="A24" s="55">
        <v>7</v>
      </c>
      <c r="B24" s="109" t="s">
        <v>101</v>
      </c>
      <c r="C24" s="110"/>
      <c r="D24" s="111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40.5">
      <c r="A25" s="56" t="s">
        <v>70</v>
      </c>
      <c r="B25" s="57" t="s">
        <v>10</v>
      </c>
      <c r="C25" s="61" t="s">
        <v>170</v>
      </c>
      <c r="D25" s="59" t="s">
        <v>200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41.75">
      <c r="A26" s="56" t="s">
        <v>73</v>
      </c>
      <c r="B26" s="57" t="s">
        <v>11</v>
      </c>
      <c r="C26" s="61" t="s">
        <v>181</v>
      </c>
      <c r="D26" s="59" t="s">
        <v>200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01.25">
      <c r="A27" s="56"/>
      <c r="B27" s="57"/>
      <c r="C27" s="61" t="s">
        <v>183</v>
      </c>
      <c r="D27" s="59" t="s">
        <v>200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41.75">
      <c r="A28" s="56" t="s">
        <v>75</v>
      </c>
      <c r="B28" s="57" t="s">
        <v>12</v>
      </c>
      <c r="C28" s="61" t="s">
        <v>180</v>
      </c>
      <c r="D28" s="59" t="s">
        <v>200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01.25">
      <c r="A29" s="56"/>
      <c r="B29" s="57"/>
      <c r="C29" s="61" t="s">
        <v>182</v>
      </c>
      <c r="D29" s="59" t="s">
        <v>200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56" t="s">
        <v>78</v>
      </c>
      <c r="B30" s="62" t="s">
        <v>14</v>
      </c>
      <c r="C30" s="61" t="s">
        <v>163</v>
      </c>
      <c r="D30" s="5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4" customHeight="1">
      <c r="A31" s="55">
        <v>7</v>
      </c>
      <c r="B31" s="109" t="s">
        <v>64</v>
      </c>
      <c r="C31" s="110"/>
      <c r="D31" s="111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40.5">
      <c r="A32" s="56" t="s">
        <v>85</v>
      </c>
      <c r="B32" s="57" t="s">
        <v>19</v>
      </c>
      <c r="C32" s="61" t="s">
        <v>171</v>
      </c>
      <c r="D32" s="59" t="s">
        <v>201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4" customHeight="1">
      <c r="A33" s="55">
        <v>8</v>
      </c>
      <c r="B33" s="109" t="s">
        <v>102</v>
      </c>
      <c r="C33" s="110"/>
      <c r="D33" s="112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40.5">
      <c r="A34" s="56" t="s">
        <v>83</v>
      </c>
      <c r="B34" s="57" t="s">
        <v>93</v>
      </c>
      <c r="C34" s="72" t="s">
        <v>172</v>
      </c>
      <c r="D34" s="116" t="s">
        <v>202</v>
      </c>
      <c r="E34" s="68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40.5">
      <c r="A35" s="56"/>
      <c r="B35" s="57"/>
      <c r="C35" s="72" t="s">
        <v>173</v>
      </c>
      <c r="D35" s="116" t="s">
        <v>202</v>
      </c>
      <c r="E35" s="68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40.5">
      <c r="A36" s="56" t="s">
        <v>87</v>
      </c>
      <c r="B36" s="58" t="s">
        <v>123</v>
      </c>
      <c r="C36" s="72" t="s">
        <v>188</v>
      </c>
      <c r="D36" s="116" t="s">
        <v>202</v>
      </c>
      <c r="E36" s="68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40.5">
      <c r="A37" s="56" t="s">
        <v>84</v>
      </c>
      <c r="B37" s="57" t="s">
        <v>18</v>
      </c>
      <c r="C37" s="61" t="s">
        <v>174</v>
      </c>
      <c r="D37" s="116" t="s">
        <v>202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40.5">
      <c r="A38" s="56"/>
      <c r="B38" s="58" t="s">
        <v>103</v>
      </c>
      <c r="C38" s="63" t="s">
        <v>189</v>
      </c>
      <c r="D38" s="116" t="s">
        <v>202</v>
      </c>
      <c r="E38" s="68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55">
        <v>9</v>
      </c>
      <c r="B39" s="106" t="s">
        <v>65</v>
      </c>
      <c r="C39" s="107"/>
      <c r="D39" s="108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40.5">
      <c r="A40" s="56" t="s">
        <v>69</v>
      </c>
      <c r="B40" s="65" t="s">
        <v>9</v>
      </c>
      <c r="C40" s="61" t="s">
        <v>175</v>
      </c>
      <c r="D40" s="116" t="s">
        <v>202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55">
        <v>11</v>
      </c>
      <c r="B41" s="106" t="s">
        <v>88</v>
      </c>
      <c r="C41" s="107"/>
      <c r="D41" s="108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40.5">
      <c r="A42" s="56" t="s">
        <v>82</v>
      </c>
      <c r="B42" s="65" t="s">
        <v>90</v>
      </c>
      <c r="C42" s="61" t="s">
        <v>176</v>
      </c>
      <c r="D42" s="116" t="s">
        <v>202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40.5">
      <c r="A43" s="56" t="s">
        <v>87</v>
      </c>
      <c r="B43" s="58" t="s">
        <v>59</v>
      </c>
      <c r="C43" s="61" t="s">
        <v>193</v>
      </c>
      <c r="D43" s="116" t="s">
        <v>202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40.5">
      <c r="A44" s="56" t="s">
        <v>74</v>
      </c>
      <c r="B44" s="65" t="s">
        <v>91</v>
      </c>
      <c r="C44" s="61" t="s">
        <v>190</v>
      </c>
      <c r="D44" s="116" t="s">
        <v>202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40.5">
      <c r="A45" s="56" t="s">
        <v>87</v>
      </c>
      <c r="B45" s="58" t="s">
        <v>59</v>
      </c>
      <c r="C45" s="61" t="s">
        <v>192</v>
      </c>
      <c r="D45" s="116" t="s">
        <v>202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40.5">
      <c r="A46" s="56" t="s">
        <v>72</v>
      </c>
      <c r="B46" s="65" t="s">
        <v>92</v>
      </c>
      <c r="C46" s="64" t="s">
        <v>177</v>
      </c>
      <c r="D46" s="116" t="s">
        <v>202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40.5">
      <c r="A47" s="56" t="s">
        <v>87</v>
      </c>
      <c r="B47" s="58" t="s">
        <v>59</v>
      </c>
      <c r="C47" s="61" t="s">
        <v>191</v>
      </c>
      <c r="D47" s="116" t="s">
        <v>202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40.5">
      <c r="A48" s="56" t="s">
        <v>81</v>
      </c>
      <c r="B48" s="65" t="s">
        <v>104</v>
      </c>
      <c r="C48" s="64" t="s">
        <v>178</v>
      </c>
      <c r="D48" s="116" t="s">
        <v>202</v>
      </c>
      <c r="E48" s="68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55">
        <v>12</v>
      </c>
      <c r="B49" s="106" t="s">
        <v>36</v>
      </c>
      <c r="C49" s="107"/>
      <c r="D49" s="108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40.5">
      <c r="A50" s="56" t="s">
        <v>67</v>
      </c>
      <c r="B50" s="65" t="s">
        <v>8</v>
      </c>
      <c r="C50" s="61" t="s">
        <v>179</v>
      </c>
      <c r="D50" s="116" t="s">
        <v>202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66"/>
      <c r="B51" s="67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66"/>
      <c r="B52" s="67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66"/>
      <c r="B53" s="67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66"/>
      <c r="B54" s="67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66"/>
      <c r="B55" s="67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66"/>
      <c r="B56" s="67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66"/>
      <c r="B57" s="67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66"/>
      <c r="B58" s="67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66"/>
      <c r="B59" s="67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66"/>
      <c r="B60" s="67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66"/>
      <c r="B61" s="67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66"/>
      <c r="B62" s="67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66"/>
      <c r="B63" s="67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66"/>
      <c r="B64" s="67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66"/>
      <c r="B65" s="67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66"/>
      <c r="B66" s="67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66"/>
      <c r="B67" s="67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66"/>
      <c r="B68" s="67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66"/>
      <c r="B69" s="67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66"/>
      <c r="B70" s="67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66"/>
      <c r="B71" s="67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66"/>
      <c r="B72" s="67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66"/>
      <c r="B73" s="67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66"/>
      <c r="B74" s="67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66"/>
      <c r="B75" s="67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66"/>
      <c r="B76" s="67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66"/>
      <c r="B77" s="67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66"/>
      <c r="B78" s="67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66"/>
      <c r="B79" s="67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66"/>
      <c r="B80" s="67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66"/>
      <c r="B81" s="67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66"/>
      <c r="B82" s="67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66"/>
      <c r="B83" s="67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66"/>
      <c r="B84" s="67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66"/>
      <c r="B85" s="67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66"/>
      <c r="B86" s="67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66"/>
      <c r="B87" s="67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66"/>
      <c r="B88" s="67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66"/>
      <c r="B89" s="67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66"/>
      <c r="B90" s="67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66"/>
      <c r="B91" s="67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66"/>
      <c r="B92" s="67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66"/>
      <c r="B93" s="67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66"/>
      <c r="B94" s="67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66"/>
      <c r="B95" s="67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66"/>
      <c r="B96" s="67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66"/>
      <c r="B97" s="67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66"/>
      <c r="B98" s="67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66"/>
      <c r="B99" s="67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66"/>
      <c r="B100" s="67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66"/>
      <c r="B101" s="67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66"/>
      <c r="B102" s="67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66"/>
      <c r="B103" s="67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66"/>
      <c r="B104" s="67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66"/>
      <c r="B105" s="67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66"/>
      <c r="B106" s="67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66"/>
      <c r="B107" s="67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66"/>
      <c r="B108" s="67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66"/>
      <c r="B109" s="67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66"/>
      <c r="B110" s="67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66"/>
      <c r="B111" s="67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66"/>
      <c r="B112" s="67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66"/>
      <c r="B113" s="67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66"/>
      <c r="B114" s="67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66"/>
      <c r="B115" s="67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66"/>
      <c r="B116" s="67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66"/>
      <c r="B117" s="67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66"/>
      <c r="B118" s="67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66"/>
      <c r="B119" s="67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66"/>
      <c r="B120" s="67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66"/>
      <c r="B121" s="67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66"/>
      <c r="B122" s="6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66"/>
      <c r="B123" s="6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66"/>
      <c r="B124" s="67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66"/>
      <c r="B125" s="67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66"/>
      <c r="B126" s="67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66"/>
      <c r="B127" s="67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66"/>
      <c r="B128" s="67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66"/>
      <c r="B129" s="67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66"/>
      <c r="B130" s="67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66"/>
      <c r="B131" s="67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66"/>
      <c r="B132" s="67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66"/>
      <c r="B133" s="67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66"/>
      <c r="B134" s="67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66"/>
      <c r="B135" s="67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66"/>
      <c r="B136" s="67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66"/>
      <c r="B137" s="67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66"/>
      <c r="B138" s="67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66"/>
      <c r="B139" s="67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66"/>
      <c r="B140" s="67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66"/>
      <c r="B141" s="67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66"/>
      <c r="B142" s="67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66"/>
      <c r="B143" s="67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66"/>
      <c r="B144" s="67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66"/>
      <c r="B145" s="67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66"/>
      <c r="B146" s="67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66"/>
      <c r="B147" s="67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66"/>
      <c r="B148" s="67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66"/>
      <c r="B149" s="67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66"/>
      <c r="B150" s="67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66"/>
      <c r="B151" s="67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66"/>
      <c r="B152" s="67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66"/>
      <c r="B153" s="67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66"/>
      <c r="B154" s="67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66"/>
      <c r="B155" s="67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66"/>
      <c r="B156" s="67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66"/>
      <c r="B157" s="67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66"/>
      <c r="B158" s="6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66"/>
      <c r="B159" s="67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66"/>
      <c r="B160" s="67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66"/>
      <c r="B161" s="67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66"/>
      <c r="B162" s="67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66"/>
      <c r="B163" s="67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66"/>
      <c r="B164" s="67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66"/>
      <c r="B165" s="67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66"/>
      <c r="B166" s="67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66"/>
      <c r="B167" s="67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66"/>
      <c r="B168" s="67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66"/>
      <c r="B169" s="67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66"/>
      <c r="B170" s="67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66"/>
      <c r="B171" s="67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66"/>
      <c r="B172" s="67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66"/>
      <c r="B173" s="67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66"/>
      <c r="B174" s="67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66"/>
      <c r="B175" s="67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66"/>
      <c r="B176" s="67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66"/>
      <c r="B177" s="67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66"/>
      <c r="B178" s="67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66"/>
      <c r="B179" s="67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66"/>
      <c r="B180" s="67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66"/>
      <c r="B181" s="67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66"/>
      <c r="B182" s="67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66"/>
      <c r="B183" s="67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66"/>
      <c r="B184" s="67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66"/>
      <c r="B185" s="67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66"/>
      <c r="B186" s="67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66"/>
      <c r="B187" s="67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66"/>
      <c r="B188" s="67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66"/>
      <c r="B189" s="67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66"/>
      <c r="B190" s="6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66"/>
      <c r="B191" s="6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66"/>
      <c r="B192" s="67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66"/>
      <c r="B193" s="67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66"/>
      <c r="B194" s="67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66"/>
      <c r="B195" s="67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66"/>
      <c r="B196" s="67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66"/>
      <c r="B197" s="67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66"/>
      <c r="B198" s="67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66"/>
      <c r="B199" s="67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66"/>
      <c r="B200" s="67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66"/>
      <c r="B201" s="67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66"/>
      <c r="B202" s="67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66"/>
      <c r="B203" s="67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66"/>
      <c r="B204" s="67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66"/>
      <c r="B205" s="67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66"/>
      <c r="B206" s="67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66"/>
      <c r="B207" s="67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66"/>
      <c r="B208" s="67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66"/>
      <c r="B209" s="67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66"/>
      <c r="B210" s="67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66"/>
      <c r="B211" s="67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66"/>
      <c r="B212" s="67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66"/>
      <c r="B213" s="67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66"/>
      <c r="B214" s="67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66"/>
      <c r="B215" s="67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66"/>
      <c r="B216" s="67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66"/>
      <c r="B217" s="6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66"/>
      <c r="B218" s="67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66"/>
      <c r="B219" s="67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66"/>
      <c r="B220" s="67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66"/>
      <c r="B221" s="67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66"/>
      <c r="B222" s="67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66"/>
      <c r="B223" s="67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66"/>
      <c r="B224" s="67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66"/>
      <c r="B225" s="67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66"/>
      <c r="B226" s="67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66"/>
      <c r="B227" s="67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66"/>
      <c r="B228" s="67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66"/>
      <c r="B229" s="67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66"/>
      <c r="B230" s="67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66"/>
      <c r="B231" s="6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66"/>
      <c r="B232" s="6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66"/>
      <c r="B233" s="67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66"/>
      <c r="B234" s="67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66"/>
      <c r="B235" s="67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66"/>
      <c r="B236" s="67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66"/>
      <c r="B237" s="67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66"/>
      <c r="B238" s="67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66"/>
      <c r="B239" s="67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66"/>
      <c r="B240" s="67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66"/>
      <c r="B241" s="67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66"/>
      <c r="B242" s="67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66"/>
      <c r="B243" s="67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66"/>
      <c r="B244" s="67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66"/>
      <c r="B245" s="67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66"/>
      <c r="B246" s="67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66"/>
      <c r="B247" s="67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66"/>
      <c r="B248" s="67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66"/>
      <c r="B249" s="67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66"/>
      <c r="B250" s="67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66"/>
      <c r="B251" s="67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66"/>
      <c r="B252" s="67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66"/>
      <c r="B253" s="67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66"/>
      <c r="B254" s="67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>
      <c r="A255" s="66"/>
      <c r="B255" s="67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>
      <c r="A256" s="66"/>
      <c r="B256" s="67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>
      <c r="A257" s="66"/>
      <c r="B257" s="67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>
      <c r="A258" s="66"/>
      <c r="B258" s="67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>
      <c r="A259" s="66"/>
      <c r="B259" s="67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>
      <c r="A260" s="66"/>
      <c r="B260" s="67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>
      <c r="A261" s="66"/>
      <c r="B261" s="67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>
      <c r="A262" s="66"/>
      <c r="B262" s="67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>
      <c r="A263" s="66"/>
      <c r="B263" s="67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>
      <c r="A264" s="66"/>
      <c r="B264" s="67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>
      <c r="A265" s="66"/>
      <c r="B265" s="67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>
      <c r="A266" s="66"/>
      <c r="B266" s="67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>
      <c r="A267" s="66"/>
      <c r="B267" s="67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>
      <c r="A268" s="66"/>
      <c r="B268" s="67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>
      <c r="A269" s="66"/>
      <c r="B269" s="67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>
      <c r="A270" s="66"/>
      <c r="B270" s="67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>
      <c r="A271" s="66"/>
      <c r="B271" s="67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>
      <c r="A272" s="66"/>
      <c r="B272" s="67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>
      <c r="A273" s="66"/>
      <c r="B273" s="67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>
      <c r="A274" s="66"/>
      <c r="B274" s="67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>
      <c r="A275" s="66"/>
      <c r="B275" s="67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>
      <c r="A276" s="66"/>
      <c r="B276" s="67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>
      <c r="A277" s="66"/>
      <c r="B277" s="67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>
      <c r="A278" s="66"/>
      <c r="B278" s="67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>
      <c r="A279" s="66"/>
      <c r="B279" s="67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>
      <c r="A280" s="66"/>
      <c r="B280" s="67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>
      <c r="A281" s="66"/>
      <c r="B281" s="67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>
      <c r="A282" s="66"/>
      <c r="B282" s="67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>
      <c r="A283" s="66"/>
      <c r="B283" s="67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>
      <c r="A284" s="66"/>
      <c r="B284" s="67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>
      <c r="A285" s="66"/>
      <c r="B285" s="67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>
      <c r="A286" s="66"/>
      <c r="B286" s="67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>
      <c r="A287" s="66"/>
      <c r="B287" s="67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>
      <c r="A288" s="66"/>
      <c r="B288" s="67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>
      <c r="A289" s="66"/>
      <c r="B289" s="67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>
      <c r="A290" s="66"/>
      <c r="B290" s="67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>
      <c r="A291" s="66"/>
      <c r="B291" s="67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>
      <c r="A292" s="66"/>
      <c r="B292" s="67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>
      <c r="A293" s="66"/>
      <c r="B293" s="67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>
      <c r="A294" s="66"/>
      <c r="B294" s="67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>
      <c r="A295" s="66"/>
      <c r="B295" s="67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>
      <c r="A296" s="66"/>
      <c r="B296" s="67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>
      <c r="A297" s="66"/>
      <c r="B297" s="67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>
      <c r="A298" s="66"/>
      <c r="B298" s="67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>
      <c r="A299" s="66"/>
      <c r="B299" s="67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>
      <c r="A300" s="66"/>
      <c r="B300" s="67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>
      <c r="A301" s="66"/>
      <c r="B301" s="67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>
      <c r="A302" s="66"/>
      <c r="B302" s="67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>
      <c r="A303" s="66"/>
      <c r="B303" s="67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>
      <c r="A304" s="66"/>
      <c r="B304" s="67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>
      <c r="A305" s="66"/>
      <c r="B305" s="67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>
      <c r="A306" s="66"/>
      <c r="B306" s="67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>
      <c r="A307" s="66"/>
      <c r="B307" s="67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>
      <c r="A308" s="66"/>
      <c r="B308" s="67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>
      <c r="A309" s="66"/>
      <c r="B309" s="67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>
      <c r="A310" s="66"/>
      <c r="B310" s="67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>
      <c r="A311" s="66"/>
      <c r="B311" s="67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>
      <c r="A312" s="66"/>
      <c r="B312" s="67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>
      <c r="A313" s="66"/>
      <c r="B313" s="67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>
      <c r="A314" s="66"/>
      <c r="B314" s="67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>
      <c r="A315" s="66"/>
      <c r="B315" s="67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>
      <c r="A316" s="66"/>
      <c r="B316" s="67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>
      <c r="A317" s="66"/>
      <c r="B317" s="67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>
      <c r="A318" s="66"/>
      <c r="B318" s="67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>
      <c r="A319" s="66"/>
      <c r="B319" s="67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>
      <c r="A320" s="66"/>
      <c r="B320" s="67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>
      <c r="A321" s="66"/>
      <c r="B321" s="67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>
      <c r="A322" s="66"/>
      <c r="B322" s="67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>
      <c r="A323" s="66"/>
      <c r="B323" s="67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>
      <c r="A324" s="66"/>
      <c r="B324" s="67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>
      <c r="A325" s="66"/>
      <c r="B325" s="67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>
      <c r="A326" s="66"/>
      <c r="B326" s="67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>
      <c r="A327" s="66"/>
      <c r="B327" s="67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>
      <c r="A328" s="66"/>
      <c r="B328" s="67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>
      <c r="A329" s="66"/>
      <c r="B329" s="67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>
      <c r="A330" s="66"/>
      <c r="B330" s="67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>
      <c r="A331" s="66"/>
      <c r="B331" s="67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>
      <c r="A332" s="66"/>
      <c r="B332" s="67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>
      <c r="A333" s="66"/>
      <c r="B333" s="67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>
      <c r="A334" s="66"/>
      <c r="B334" s="67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>
      <c r="A335" s="66"/>
      <c r="B335" s="67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>
      <c r="A336" s="66"/>
      <c r="B336" s="67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>
      <c r="A337" s="66"/>
      <c r="B337" s="67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>
      <c r="A338" s="66"/>
      <c r="B338" s="67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>
      <c r="A339" s="66"/>
      <c r="B339" s="67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>
      <c r="A340" s="66"/>
      <c r="B340" s="67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>
      <c r="A341" s="66"/>
      <c r="B341" s="67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>
      <c r="A342" s="66"/>
      <c r="B342" s="67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>
      <c r="A343" s="66"/>
      <c r="B343" s="67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>
      <c r="A344" s="66"/>
      <c r="B344" s="67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>
      <c r="A345" s="66"/>
      <c r="B345" s="67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>
      <c r="A346" s="66"/>
      <c r="B346" s="67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>
      <c r="A347" s="66"/>
      <c r="B347" s="67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>
      <c r="A348" s="66"/>
      <c r="B348" s="67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>
      <c r="A349" s="66"/>
      <c r="B349" s="67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>
      <c r="A350" s="66"/>
      <c r="B350" s="67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>
      <c r="A351" s="66"/>
      <c r="B351" s="67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>
      <c r="A352" s="66"/>
      <c r="B352" s="67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>
      <c r="A353" s="66"/>
      <c r="B353" s="67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>
      <c r="A354" s="66"/>
      <c r="B354" s="67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>
      <c r="A355" s="66"/>
      <c r="B355" s="67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>
      <c r="A356" s="66"/>
      <c r="B356" s="67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>
      <c r="A357" s="66"/>
      <c r="B357" s="67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>
      <c r="A358" s="66"/>
      <c r="B358" s="67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>
      <c r="A359" s="66"/>
      <c r="B359" s="67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>
      <c r="A360" s="66"/>
      <c r="B360" s="67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>
      <c r="A361" s="66"/>
      <c r="B361" s="67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>
      <c r="A362" s="66"/>
      <c r="B362" s="67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>
      <c r="A363" s="66"/>
      <c r="B363" s="67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>
      <c r="A364" s="66"/>
      <c r="B364" s="67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>
      <c r="A365" s="66"/>
      <c r="B365" s="67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>
      <c r="A366" s="66"/>
      <c r="B366" s="67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>
      <c r="A367" s="66"/>
      <c r="B367" s="67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>
      <c r="A368" s="66"/>
      <c r="B368" s="67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>
      <c r="A369" s="66"/>
      <c r="B369" s="67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>
      <c r="A370" s="66"/>
      <c r="B370" s="67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>
      <c r="A371" s="66"/>
      <c r="B371" s="67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>
      <c r="A372" s="66"/>
      <c r="B372" s="67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>
      <c r="A373" s="66"/>
      <c r="B373" s="67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>
      <c r="A374" s="66"/>
      <c r="B374" s="67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>
      <c r="A375" s="66"/>
      <c r="B375" s="67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>
      <c r="A376" s="66"/>
      <c r="B376" s="67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>
      <c r="A377" s="66"/>
      <c r="B377" s="67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>
      <c r="A378" s="66"/>
      <c r="B378" s="67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>
      <c r="A379" s="66"/>
      <c r="B379" s="67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>
      <c r="A380" s="66"/>
      <c r="B380" s="67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>
      <c r="A381" s="66"/>
      <c r="B381" s="67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>
      <c r="A382" s="66"/>
      <c r="B382" s="67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>
      <c r="A383" s="66"/>
      <c r="B383" s="67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>
      <c r="A384" s="66"/>
      <c r="B384" s="67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>
      <c r="A385" s="66"/>
      <c r="B385" s="67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>
      <c r="A386" s="66"/>
      <c r="B386" s="67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>
      <c r="A387" s="66"/>
      <c r="B387" s="67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>
      <c r="A388" s="66"/>
      <c r="B388" s="67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>
      <c r="A389" s="66"/>
      <c r="B389" s="67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>
      <c r="A390" s="66"/>
      <c r="B390" s="67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>
      <c r="A391" s="66"/>
      <c r="B391" s="67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>
      <c r="A392" s="66"/>
      <c r="B392" s="67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>
      <c r="A393" s="66"/>
      <c r="B393" s="67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>
      <c r="A394" s="66"/>
      <c r="B394" s="67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>
      <c r="A395" s="66"/>
      <c r="B395" s="67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>
      <c r="A396" s="66"/>
      <c r="B396" s="67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>
      <c r="A397" s="66"/>
      <c r="B397" s="67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>
      <c r="A398" s="66"/>
      <c r="B398" s="67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>
      <c r="A399" s="66"/>
      <c r="B399" s="67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>
      <c r="A400" s="66"/>
      <c r="B400" s="67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>
      <c r="A401" s="66"/>
      <c r="B401" s="67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>
      <c r="A402" s="66"/>
      <c r="B402" s="67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>
      <c r="A403" s="66"/>
      <c r="B403" s="67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>
      <c r="A404" s="66"/>
      <c r="B404" s="67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>
      <c r="A405" s="66"/>
      <c r="B405" s="67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>
      <c r="A406" s="66"/>
      <c r="B406" s="67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>
      <c r="A407" s="66"/>
      <c r="B407" s="67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>
      <c r="A408" s="66"/>
      <c r="B408" s="67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>
      <c r="A409" s="66"/>
      <c r="B409" s="67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>
      <c r="A410" s="66"/>
      <c r="B410" s="67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>
      <c r="A411" s="66"/>
      <c r="B411" s="67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>
      <c r="A412" s="66"/>
      <c r="B412" s="67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>
      <c r="A413" s="66"/>
      <c r="B413" s="67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>
      <c r="A414" s="66"/>
      <c r="B414" s="67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>
      <c r="A415" s="66"/>
      <c r="B415" s="67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>
      <c r="A416" s="66"/>
      <c r="B416" s="67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>
      <c r="A417" s="66"/>
      <c r="B417" s="67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>
      <c r="A418" s="66"/>
      <c r="B418" s="67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>
      <c r="A419" s="66"/>
      <c r="B419" s="67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>
      <c r="A420" s="66"/>
      <c r="B420" s="67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>
      <c r="A421" s="66"/>
      <c r="B421" s="67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>
      <c r="A422" s="66"/>
      <c r="B422" s="67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>
      <c r="A423" s="66"/>
      <c r="B423" s="67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>
      <c r="A424" s="66"/>
      <c r="B424" s="67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>
      <c r="A425" s="66"/>
      <c r="B425" s="67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>
      <c r="A426" s="66"/>
      <c r="B426" s="67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>
      <c r="A427" s="66"/>
      <c r="B427" s="67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>
      <c r="A428" s="66"/>
      <c r="B428" s="67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>
      <c r="A429" s="66"/>
      <c r="B429" s="67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>
      <c r="A430" s="66"/>
      <c r="B430" s="67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>
      <c r="A431" s="66"/>
      <c r="B431" s="67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>
      <c r="A432" s="66"/>
      <c r="B432" s="67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>
      <c r="A433" s="66"/>
      <c r="B433" s="67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>
      <c r="A434" s="66"/>
      <c r="B434" s="67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>
      <c r="A435" s="66"/>
      <c r="B435" s="67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>
      <c r="A436" s="66"/>
      <c r="B436" s="67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>
      <c r="A437" s="66"/>
      <c r="B437" s="67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>
      <c r="A438" s="66"/>
      <c r="B438" s="67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>
      <c r="A439" s="66"/>
      <c r="B439" s="67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>
      <c r="A440" s="66"/>
      <c r="B440" s="67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>
      <c r="A441" s="66"/>
      <c r="B441" s="67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>
      <c r="A442" s="66"/>
      <c r="B442" s="67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>
      <c r="A443" s="66"/>
      <c r="B443" s="67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>
      <c r="A444" s="66"/>
      <c r="B444" s="67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>
      <c r="A445" s="66"/>
      <c r="B445" s="67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>
      <c r="A446" s="66"/>
      <c r="B446" s="67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>
      <c r="A447" s="66"/>
      <c r="B447" s="67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>
      <c r="A448" s="66"/>
      <c r="B448" s="67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>
      <c r="A449" s="66"/>
      <c r="B449" s="67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>
      <c r="A450" s="66"/>
      <c r="B450" s="67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>
      <c r="A451" s="66"/>
      <c r="B451" s="67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>
      <c r="A452" s="66"/>
      <c r="B452" s="67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>
      <c r="A453" s="66"/>
      <c r="B453" s="67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>
      <c r="A454" s="66"/>
      <c r="B454" s="67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>
      <c r="A455" s="66"/>
      <c r="B455" s="67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>
      <c r="A456" s="66"/>
      <c r="B456" s="67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>
      <c r="A457" s="66"/>
      <c r="B457" s="67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>
      <c r="A458" s="66"/>
      <c r="B458" s="67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>
      <c r="A459" s="66"/>
      <c r="B459" s="67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>
      <c r="A460" s="66"/>
      <c r="B460" s="67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>
      <c r="A461" s="66"/>
      <c r="B461" s="67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>
      <c r="A462" s="66"/>
      <c r="B462" s="67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>
      <c r="A463" s="66"/>
      <c r="B463" s="67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>
      <c r="A464" s="66"/>
      <c r="B464" s="67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>
      <c r="A465" s="66"/>
      <c r="B465" s="67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>
      <c r="A466" s="66"/>
      <c r="B466" s="67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>
      <c r="A467" s="66"/>
      <c r="B467" s="67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>
      <c r="A468" s="66"/>
      <c r="B468" s="67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>
      <c r="A469" s="66"/>
      <c r="B469" s="67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>
      <c r="A470" s="66"/>
      <c r="B470" s="67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>
      <c r="A471" s="66"/>
      <c r="B471" s="67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>
      <c r="A472" s="66"/>
      <c r="B472" s="67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>
      <c r="A473" s="66"/>
      <c r="B473" s="67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>
      <c r="A474" s="66"/>
      <c r="B474" s="67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>
      <c r="A475" s="66"/>
      <c r="B475" s="67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>
      <c r="A476" s="66"/>
      <c r="B476" s="67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>
      <c r="A477" s="66"/>
      <c r="B477" s="67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>
      <c r="A478" s="66"/>
      <c r="B478" s="67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>
      <c r="A479" s="66"/>
      <c r="B479" s="67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>
      <c r="A480" s="66"/>
      <c r="B480" s="67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>
      <c r="A481" s="66"/>
      <c r="B481" s="67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>
      <c r="A482" s="66"/>
      <c r="B482" s="67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>
      <c r="A483" s="66"/>
      <c r="B483" s="67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>
      <c r="A484" s="66"/>
      <c r="B484" s="67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>
      <c r="A485" s="66"/>
      <c r="B485" s="67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>
      <c r="A486" s="66"/>
      <c r="B486" s="67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>
      <c r="A487" s="66"/>
      <c r="B487" s="67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>
      <c r="A488" s="66"/>
      <c r="B488" s="67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>
      <c r="A489" s="66"/>
      <c r="B489" s="67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>
      <c r="A490" s="66"/>
      <c r="B490" s="67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>
      <c r="A491" s="66"/>
      <c r="B491" s="67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>
      <c r="A492" s="66"/>
      <c r="B492" s="67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>
      <c r="A493" s="66"/>
      <c r="B493" s="67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>
      <c r="A494" s="66"/>
      <c r="B494" s="67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>
      <c r="A495" s="66"/>
      <c r="B495" s="67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>
      <c r="A496" s="66"/>
      <c r="B496" s="67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>
      <c r="A497" s="66"/>
      <c r="B497" s="67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>
      <c r="A498" s="66"/>
      <c r="B498" s="67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>
      <c r="A499" s="66"/>
      <c r="B499" s="67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>
      <c r="A500" s="66"/>
      <c r="B500" s="67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>
      <c r="A501" s="66"/>
      <c r="B501" s="67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>
      <c r="A502" s="66"/>
      <c r="B502" s="67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>
      <c r="A503" s="66"/>
      <c r="B503" s="67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>
      <c r="A504" s="66"/>
      <c r="B504" s="67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>
      <c r="A505" s="66"/>
      <c r="B505" s="67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>
      <c r="A506" s="66"/>
      <c r="B506" s="67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>
      <c r="A507" s="66"/>
      <c r="B507" s="67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>
      <c r="A508" s="66"/>
      <c r="B508" s="67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>
      <c r="A509" s="66"/>
      <c r="B509" s="67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>
      <c r="A510" s="66"/>
      <c r="B510" s="67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>
      <c r="A511" s="66"/>
      <c r="B511" s="67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>
      <c r="A512" s="66"/>
      <c r="B512" s="67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>
      <c r="A513" s="66"/>
      <c r="B513" s="67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>
      <c r="A514" s="66"/>
      <c r="B514" s="67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>
      <c r="A515" s="66"/>
      <c r="B515" s="67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>
      <c r="A516" s="66"/>
      <c r="B516" s="67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>
      <c r="A517" s="66"/>
      <c r="B517" s="67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>
      <c r="A518" s="66"/>
      <c r="B518" s="67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>
      <c r="A519" s="66"/>
      <c r="B519" s="67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>
      <c r="A520" s="66"/>
      <c r="B520" s="67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>
      <c r="A521" s="66"/>
      <c r="B521" s="67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>
      <c r="A522" s="66"/>
      <c r="B522" s="67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>
      <c r="A523" s="66"/>
      <c r="B523" s="67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>
      <c r="A524" s="66"/>
      <c r="B524" s="67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>
      <c r="A525" s="66"/>
      <c r="B525" s="67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>
      <c r="A526" s="66"/>
      <c r="B526" s="67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>
      <c r="A527" s="66"/>
      <c r="B527" s="67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>
      <c r="A528" s="66"/>
      <c r="B528" s="67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>
      <c r="A529" s="66"/>
      <c r="B529" s="67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>
      <c r="A530" s="66"/>
      <c r="B530" s="67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>
      <c r="A531" s="66"/>
      <c r="B531" s="67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>
      <c r="A532" s="66"/>
      <c r="B532" s="67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>
      <c r="A533" s="66"/>
      <c r="B533" s="67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>
      <c r="A534" s="66"/>
      <c r="B534" s="67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>
      <c r="A535" s="66"/>
      <c r="B535" s="67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>
      <c r="A536" s="66"/>
      <c r="B536" s="67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>
      <c r="A537" s="66"/>
      <c r="B537" s="67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>
      <c r="A538" s="66"/>
      <c r="B538" s="67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>
      <c r="A539" s="66"/>
      <c r="B539" s="67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>
      <c r="A540" s="66"/>
      <c r="B540" s="67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>
      <c r="A541" s="66"/>
      <c r="B541" s="67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>
      <c r="A542" s="66"/>
      <c r="B542" s="67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>
      <c r="A543" s="66"/>
      <c r="B543" s="67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>
      <c r="A544" s="66"/>
      <c r="B544" s="67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>
      <c r="A545" s="66"/>
      <c r="B545" s="67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>
      <c r="A546" s="66"/>
      <c r="B546" s="67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>
      <c r="A547" s="66"/>
      <c r="B547" s="67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>
      <c r="A548" s="66"/>
      <c r="B548" s="67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>
      <c r="A549" s="66"/>
      <c r="B549" s="67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>
      <c r="A550" s="66"/>
      <c r="B550" s="67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>
      <c r="A551" s="66"/>
      <c r="B551" s="67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>
      <c r="A552" s="66"/>
      <c r="B552" s="67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>
      <c r="A553" s="66"/>
      <c r="B553" s="67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>
      <c r="A554" s="66"/>
      <c r="B554" s="67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>
      <c r="A555" s="66"/>
      <c r="B555" s="67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>
      <c r="A556" s="66"/>
      <c r="B556" s="67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>
      <c r="A557" s="66"/>
      <c r="B557" s="67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>
      <c r="A558" s="66"/>
      <c r="B558" s="67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>
      <c r="A559" s="66"/>
      <c r="B559" s="67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>
      <c r="A560" s="66"/>
      <c r="B560" s="67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>
      <c r="A561" s="66"/>
      <c r="B561" s="67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>
      <c r="A562" s="66"/>
      <c r="B562" s="67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>
      <c r="A563" s="66"/>
      <c r="B563" s="67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>
      <c r="A564" s="66"/>
      <c r="B564" s="67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>
      <c r="A565" s="66"/>
      <c r="B565" s="67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>
      <c r="A566" s="66"/>
      <c r="B566" s="67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>
      <c r="A567" s="66"/>
      <c r="B567" s="67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>
      <c r="A568" s="66"/>
      <c r="B568" s="67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>
      <c r="A569" s="66"/>
      <c r="B569" s="67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>
      <c r="A570" s="66"/>
      <c r="B570" s="67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>
      <c r="A571" s="66"/>
      <c r="B571" s="67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>
      <c r="A572" s="66"/>
      <c r="B572" s="67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>
      <c r="A573" s="66"/>
      <c r="B573" s="67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>
      <c r="A574" s="66"/>
      <c r="B574" s="67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>
      <c r="A575" s="66"/>
      <c r="B575" s="67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>
      <c r="A576" s="66"/>
      <c r="B576" s="67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>
      <c r="A577" s="66"/>
      <c r="B577" s="67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>
      <c r="A578" s="66"/>
      <c r="B578" s="67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>
      <c r="A579" s="66"/>
      <c r="B579" s="67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>
      <c r="A580" s="66"/>
      <c r="B580" s="67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>
      <c r="A581" s="66"/>
      <c r="B581" s="67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>
      <c r="A582" s="66"/>
      <c r="B582" s="67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>
      <c r="A583" s="66"/>
      <c r="B583" s="67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>
      <c r="A584" s="66"/>
      <c r="B584" s="67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>
      <c r="A585" s="66"/>
      <c r="B585" s="67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>
      <c r="A586" s="66"/>
      <c r="B586" s="67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>
      <c r="A587" s="66"/>
      <c r="B587" s="67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>
      <c r="A588" s="66"/>
      <c r="B588" s="67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>
      <c r="A589" s="66"/>
      <c r="B589" s="67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>
      <c r="A590" s="66"/>
      <c r="B590" s="67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>
      <c r="A591" s="66"/>
      <c r="B591" s="67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>
      <c r="A592" s="66"/>
      <c r="B592" s="67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>
      <c r="A593" s="66"/>
      <c r="B593" s="67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>
      <c r="A594" s="66"/>
      <c r="B594" s="67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>
      <c r="A595" s="66"/>
      <c r="B595" s="67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>
      <c r="A596" s="66"/>
      <c r="B596" s="67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>
      <c r="A597" s="66"/>
      <c r="B597" s="67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>
      <c r="A598" s="66"/>
      <c r="B598" s="67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>
      <c r="A599" s="66"/>
      <c r="B599" s="67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>
      <c r="A600" s="66"/>
      <c r="B600" s="67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>
      <c r="A601" s="66"/>
      <c r="B601" s="67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>
      <c r="A602" s="66"/>
      <c r="B602" s="67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>
      <c r="A603" s="66"/>
      <c r="B603" s="67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>
      <c r="A604" s="66"/>
      <c r="B604" s="67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>
      <c r="A605" s="66"/>
      <c r="B605" s="67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>
      <c r="A606" s="66"/>
      <c r="B606" s="67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>
      <c r="A607" s="66"/>
      <c r="B607" s="67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>
      <c r="A608" s="66"/>
      <c r="B608" s="67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>
      <c r="A609" s="66"/>
      <c r="B609" s="67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>
      <c r="A610" s="66"/>
      <c r="B610" s="67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>
      <c r="A611" s="66"/>
      <c r="B611" s="67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>
      <c r="A612" s="66"/>
      <c r="B612" s="67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>
      <c r="A613" s="66"/>
      <c r="B613" s="67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>
      <c r="A614" s="66"/>
      <c r="B614" s="67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>
      <c r="A615" s="66"/>
      <c r="B615" s="67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>
      <c r="A616" s="66"/>
      <c r="B616" s="67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>
      <c r="A617" s="66"/>
      <c r="B617" s="67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>
      <c r="A618" s="66"/>
      <c r="B618" s="67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>
      <c r="A619" s="66"/>
      <c r="B619" s="67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>
      <c r="A620" s="66"/>
      <c r="B620" s="67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>
      <c r="A621" s="66"/>
      <c r="B621" s="67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>
      <c r="A622" s="66"/>
      <c r="B622" s="67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>
      <c r="A623" s="66"/>
      <c r="B623" s="67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>
      <c r="A624" s="66"/>
      <c r="B624" s="67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>
      <c r="A625" s="66"/>
      <c r="B625" s="67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>
      <c r="A626" s="66"/>
      <c r="B626" s="67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>
      <c r="A627" s="66"/>
      <c r="B627" s="67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>
      <c r="A628" s="66"/>
      <c r="B628" s="67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>
      <c r="A629" s="66"/>
      <c r="B629" s="67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>
      <c r="A630" s="66"/>
      <c r="B630" s="67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>
      <c r="A631" s="66"/>
      <c r="B631" s="67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>
      <c r="A632" s="66"/>
      <c r="B632" s="67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>
      <c r="A633" s="66"/>
      <c r="B633" s="67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>
      <c r="A634" s="66"/>
      <c r="B634" s="67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>
      <c r="A635" s="66"/>
      <c r="B635" s="67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>
      <c r="A636" s="66"/>
      <c r="B636" s="67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>
      <c r="A637" s="66"/>
      <c r="B637" s="67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>
      <c r="A638" s="66"/>
      <c r="B638" s="67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>
      <c r="A639" s="66"/>
      <c r="B639" s="67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>
      <c r="A640" s="66"/>
      <c r="B640" s="67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>
      <c r="A641" s="66"/>
      <c r="B641" s="67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>
      <c r="A642" s="66"/>
      <c r="B642" s="67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>
      <c r="A643" s="66"/>
      <c r="B643" s="67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>
      <c r="A644" s="66"/>
      <c r="B644" s="67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>
      <c r="A645" s="66"/>
      <c r="B645" s="67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>
      <c r="A646" s="66"/>
      <c r="B646" s="67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>
      <c r="A647" s="66"/>
      <c r="B647" s="67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>
      <c r="A648" s="66"/>
      <c r="B648" s="67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>
      <c r="A649" s="66"/>
      <c r="B649" s="67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>
      <c r="A650" s="66"/>
      <c r="B650" s="67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>
      <c r="A651" s="66"/>
      <c r="B651" s="67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>
      <c r="A652" s="66"/>
      <c r="B652" s="67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>
      <c r="A653" s="66"/>
      <c r="B653" s="67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>
      <c r="A654" s="66"/>
      <c r="B654" s="67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>
      <c r="A655" s="66"/>
      <c r="B655" s="67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>
      <c r="A656" s="66"/>
      <c r="B656" s="67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>
      <c r="A657" s="66"/>
      <c r="B657" s="67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>
      <c r="A658" s="66"/>
      <c r="B658" s="67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>
      <c r="A659" s="66"/>
      <c r="B659" s="67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>
      <c r="A660" s="66"/>
      <c r="B660" s="67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>
      <c r="A661" s="66"/>
      <c r="B661" s="67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>
      <c r="A662" s="66"/>
      <c r="B662" s="67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>
      <c r="A663" s="66"/>
      <c r="B663" s="67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>
      <c r="A664" s="66"/>
      <c r="B664" s="67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>
      <c r="A665" s="66"/>
      <c r="B665" s="67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>
      <c r="A666" s="66"/>
      <c r="B666" s="67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>
      <c r="A667" s="66"/>
      <c r="B667" s="67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>
      <c r="A668" s="66"/>
      <c r="B668" s="67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>
      <c r="A669" s="66"/>
      <c r="B669" s="67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>
      <c r="A670" s="66"/>
      <c r="B670" s="67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>
      <c r="A671" s="66"/>
      <c r="B671" s="67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>
      <c r="A672" s="66"/>
      <c r="B672" s="67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>
      <c r="A673" s="66"/>
      <c r="B673" s="67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>
      <c r="A674" s="66"/>
      <c r="B674" s="67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>
      <c r="A675" s="66"/>
      <c r="B675" s="67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>
      <c r="A676" s="66"/>
      <c r="B676" s="67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>
      <c r="A677" s="66"/>
      <c r="B677" s="67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>
      <c r="A678" s="66"/>
      <c r="B678" s="67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>
      <c r="A679" s="66"/>
      <c r="B679" s="67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>
      <c r="A680" s="66"/>
      <c r="B680" s="67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>
      <c r="A681" s="66"/>
      <c r="B681" s="67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>
      <c r="A682" s="66"/>
      <c r="B682" s="67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>
      <c r="A683" s="66"/>
      <c r="B683" s="67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>
      <c r="A684" s="66"/>
      <c r="B684" s="67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>
      <c r="A685" s="66"/>
      <c r="B685" s="67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>
      <c r="A686" s="66"/>
      <c r="B686" s="67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>
      <c r="A687" s="66"/>
      <c r="B687" s="67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>
      <c r="A688" s="66"/>
      <c r="B688" s="67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>
      <c r="A689" s="66"/>
      <c r="B689" s="67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>
      <c r="A690" s="66"/>
      <c r="B690" s="67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>
      <c r="A691" s="66"/>
      <c r="B691" s="67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>
      <c r="A692" s="66"/>
      <c r="B692" s="67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>
      <c r="A693" s="66"/>
      <c r="B693" s="67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>
      <c r="A694" s="66"/>
      <c r="B694" s="67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>
      <c r="A695" s="66"/>
      <c r="B695" s="67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>
      <c r="A696" s="66"/>
      <c r="B696" s="67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>
      <c r="A697" s="66"/>
      <c r="B697" s="67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>
      <c r="A698" s="66"/>
      <c r="B698" s="67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>
      <c r="A699" s="66"/>
      <c r="B699" s="67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>
      <c r="A700" s="66"/>
      <c r="B700" s="67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>
      <c r="A701" s="66"/>
      <c r="B701" s="67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>
      <c r="A702" s="66"/>
      <c r="B702" s="67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>
      <c r="A703" s="66"/>
      <c r="B703" s="67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>
      <c r="A704" s="66"/>
      <c r="B704" s="67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>
      <c r="A705" s="66"/>
      <c r="B705" s="67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>
      <c r="A706" s="66"/>
      <c r="B706" s="67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>
      <c r="A707" s="66"/>
      <c r="B707" s="67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>
      <c r="A708" s="66"/>
      <c r="B708" s="67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>
      <c r="A709" s="66"/>
      <c r="B709" s="67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>
      <c r="A710" s="66"/>
      <c r="B710" s="67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>
      <c r="A711" s="66"/>
      <c r="B711" s="67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>
      <c r="A712" s="66"/>
      <c r="B712" s="67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>
      <c r="A713" s="66"/>
      <c r="B713" s="67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>
      <c r="A714" s="66"/>
      <c r="B714" s="67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>
      <c r="A715" s="66"/>
      <c r="B715" s="67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>
      <c r="A716" s="66"/>
      <c r="B716" s="67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>
      <c r="A717" s="66"/>
      <c r="B717" s="67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>
      <c r="A718" s="66"/>
      <c r="B718" s="67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>
      <c r="A719" s="66"/>
      <c r="B719" s="67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>
      <c r="A720" s="66"/>
      <c r="B720" s="67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>
      <c r="A721" s="66"/>
      <c r="B721" s="67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>
      <c r="A722" s="66"/>
      <c r="B722" s="67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>
      <c r="A723" s="66"/>
      <c r="B723" s="67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>
      <c r="A724" s="66"/>
      <c r="B724" s="67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>
      <c r="A725" s="66"/>
      <c r="B725" s="67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>
      <c r="A726" s="66"/>
      <c r="B726" s="67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>
      <c r="A727" s="66"/>
      <c r="B727" s="67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>
      <c r="A728" s="66"/>
      <c r="B728" s="67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>
      <c r="A729" s="66"/>
      <c r="B729" s="67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>
      <c r="A730" s="66"/>
      <c r="B730" s="67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>
      <c r="A731" s="66"/>
      <c r="B731" s="67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>
      <c r="A732" s="66"/>
      <c r="B732" s="67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>
      <c r="A733" s="66"/>
      <c r="B733" s="67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>
      <c r="A734" s="66"/>
      <c r="B734" s="67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>
      <c r="A735" s="66"/>
      <c r="B735" s="67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>
      <c r="A736" s="66"/>
      <c r="B736" s="67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>
      <c r="A737" s="66"/>
      <c r="B737" s="67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>
      <c r="A738" s="66"/>
      <c r="B738" s="67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>
      <c r="A739" s="66"/>
      <c r="B739" s="67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>
      <c r="A740" s="66"/>
      <c r="B740" s="67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>
      <c r="A741" s="66"/>
      <c r="B741" s="67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>
      <c r="A742" s="66"/>
      <c r="B742" s="67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>
      <c r="A743" s="66"/>
      <c r="B743" s="67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>
      <c r="A744" s="66"/>
      <c r="B744" s="67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>
      <c r="A745" s="66"/>
      <c r="B745" s="67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>
      <c r="A746" s="66"/>
      <c r="B746" s="67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>
      <c r="A747" s="66"/>
      <c r="B747" s="67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>
      <c r="A748" s="66"/>
      <c r="B748" s="67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>
      <c r="A749" s="66"/>
      <c r="B749" s="67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>
      <c r="A750" s="66"/>
      <c r="B750" s="67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>
      <c r="A751" s="66"/>
      <c r="B751" s="67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>
      <c r="A752" s="66"/>
      <c r="B752" s="67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>
      <c r="A753" s="66"/>
      <c r="B753" s="67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>
      <c r="A754" s="66"/>
      <c r="B754" s="67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>
      <c r="A755" s="66"/>
      <c r="B755" s="67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>
      <c r="A756" s="66"/>
      <c r="B756" s="67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>
      <c r="A757" s="66"/>
      <c r="B757" s="67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>
      <c r="A758" s="66"/>
      <c r="B758" s="67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>
      <c r="A759" s="66"/>
      <c r="B759" s="67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>
      <c r="A760" s="66"/>
      <c r="B760" s="67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>
      <c r="A761" s="66"/>
      <c r="B761" s="67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>
      <c r="A762" s="66"/>
      <c r="B762" s="67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>
      <c r="A763" s="66"/>
      <c r="B763" s="67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>
      <c r="A764" s="66"/>
      <c r="B764" s="67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>
      <c r="A765" s="66"/>
      <c r="B765" s="67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>
      <c r="A766" s="66"/>
      <c r="B766" s="67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>
      <c r="A767" s="66"/>
      <c r="B767" s="67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>
      <c r="A768" s="66"/>
      <c r="B768" s="67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>
      <c r="A769" s="66"/>
      <c r="B769" s="67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>
      <c r="A770" s="66"/>
      <c r="B770" s="67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>
      <c r="A771" s="66"/>
      <c r="B771" s="67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>
      <c r="A772" s="66"/>
      <c r="B772" s="67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>
      <c r="A773" s="66"/>
      <c r="B773" s="67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>
      <c r="A774" s="66"/>
      <c r="B774" s="67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>
      <c r="A775" s="66"/>
      <c r="B775" s="67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>
      <c r="A776" s="66"/>
      <c r="B776" s="67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>
      <c r="A777" s="66"/>
      <c r="B777" s="67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>
      <c r="A778" s="66"/>
      <c r="B778" s="67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>
      <c r="A779" s="66"/>
      <c r="B779" s="67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>
      <c r="A780" s="66"/>
      <c r="B780" s="67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>
      <c r="A781" s="66"/>
      <c r="B781" s="67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>
      <c r="A782" s="66"/>
      <c r="B782" s="67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>
      <c r="A783" s="66"/>
      <c r="B783" s="67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>
      <c r="A784" s="66"/>
      <c r="B784" s="67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>
      <c r="A785" s="66"/>
      <c r="B785" s="67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>
      <c r="A786" s="66"/>
      <c r="B786" s="67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>
      <c r="A787" s="66"/>
      <c r="B787" s="67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>
      <c r="A788" s="66"/>
      <c r="B788" s="67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>
      <c r="A789" s="66"/>
      <c r="B789" s="67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>
      <c r="A790" s="66"/>
      <c r="B790" s="67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>
      <c r="A791" s="66"/>
      <c r="B791" s="67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>
      <c r="A792" s="66"/>
      <c r="B792" s="67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>
      <c r="A793" s="66"/>
      <c r="B793" s="67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>
      <c r="A794" s="66"/>
      <c r="B794" s="67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>
      <c r="A795" s="66"/>
      <c r="B795" s="67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>
      <c r="A796" s="66"/>
      <c r="B796" s="67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>
      <c r="A797" s="66"/>
      <c r="B797" s="67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>
      <c r="A798" s="66"/>
      <c r="B798" s="67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>
      <c r="A799" s="66"/>
      <c r="B799" s="67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>
      <c r="A800" s="66"/>
      <c r="B800" s="67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>
      <c r="A801" s="66"/>
      <c r="B801" s="67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>
      <c r="A802" s="66"/>
      <c r="B802" s="67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>
      <c r="A803" s="66"/>
      <c r="B803" s="67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>
      <c r="A804" s="66"/>
      <c r="B804" s="67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>
      <c r="A805" s="66"/>
      <c r="B805" s="67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>
      <c r="A806" s="66"/>
      <c r="B806" s="67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>
      <c r="A807" s="66"/>
      <c r="B807" s="67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>
      <c r="A808" s="66"/>
      <c r="B808" s="67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>
      <c r="A809" s="66"/>
      <c r="B809" s="67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>
      <c r="A810" s="66"/>
      <c r="B810" s="67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>
      <c r="A811" s="66"/>
      <c r="B811" s="67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>
      <c r="A812" s="66"/>
      <c r="B812" s="67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>
      <c r="A813" s="66"/>
      <c r="B813" s="67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>
      <c r="A814" s="66"/>
      <c r="B814" s="67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>
      <c r="A815" s="66"/>
      <c r="B815" s="67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>
      <c r="A816" s="66"/>
      <c r="B816" s="67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>
      <c r="A817" s="66"/>
      <c r="B817" s="67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>
      <c r="A818" s="66"/>
      <c r="B818" s="67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>
      <c r="A819" s="66"/>
      <c r="B819" s="67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>
      <c r="A820" s="66"/>
      <c r="B820" s="67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>
      <c r="A821" s="66"/>
      <c r="B821" s="67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>
      <c r="A822" s="66"/>
      <c r="B822" s="67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>
      <c r="A823" s="66"/>
      <c r="B823" s="67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>
      <c r="A824" s="66"/>
      <c r="B824" s="67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>
      <c r="A825" s="66"/>
      <c r="B825" s="67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>
      <c r="A826" s="66"/>
      <c r="B826" s="67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>
      <c r="A827" s="66"/>
      <c r="B827" s="67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>
      <c r="A828" s="66"/>
      <c r="B828" s="67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>
      <c r="A829" s="66"/>
      <c r="B829" s="67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>
      <c r="A830" s="66"/>
      <c r="B830" s="67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>
      <c r="A831" s="66"/>
      <c r="B831" s="67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>
      <c r="A832" s="66"/>
      <c r="B832" s="67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>
      <c r="A833" s="66"/>
      <c r="B833" s="67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>
      <c r="A834" s="66"/>
      <c r="B834" s="67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>
      <c r="A835" s="66"/>
      <c r="B835" s="67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>
      <c r="A836" s="66"/>
      <c r="B836" s="67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>
      <c r="A837" s="66"/>
      <c r="B837" s="67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>
      <c r="A838" s="66"/>
      <c r="B838" s="67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>
      <c r="A839" s="66"/>
      <c r="B839" s="67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>
      <c r="A840" s="66"/>
      <c r="B840" s="67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>
      <c r="A841" s="66"/>
      <c r="B841" s="67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>
      <c r="A842" s="66"/>
      <c r="B842" s="67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>
      <c r="A843" s="66"/>
      <c r="B843" s="67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>
      <c r="A844" s="66"/>
      <c r="B844" s="67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>
      <c r="A845" s="66"/>
      <c r="B845" s="67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>
      <c r="A846" s="66"/>
      <c r="B846" s="67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>
      <c r="A847" s="66"/>
      <c r="B847" s="67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>
      <c r="A848" s="66"/>
      <c r="B848" s="67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>
      <c r="A849" s="66"/>
      <c r="B849" s="67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>
      <c r="A850" s="66"/>
      <c r="B850" s="67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>
      <c r="A851" s="66"/>
      <c r="B851" s="67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>
      <c r="A852" s="66"/>
      <c r="B852" s="67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>
      <c r="A853" s="66"/>
      <c r="B853" s="67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>
      <c r="A854" s="66"/>
      <c r="B854" s="67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>
      <c r="A855" s="66"/>
      <c r="B855" s="67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>
      <c r="A856" s="66"/>
      <c r="B856" s="67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>
      <c r="A857" s="66"/>
      <c r="B857" s="67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>
      <c r="A858" s="66"/>
      <c r="B858" s="67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>
      <c r="A859" s="66"/>
      <c r="B859" s="67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>
      <c r="A860" s="66"/>
      <c r="B860" s="67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>
      <c r="A861" s="66"/>
      <c r="B861" s="67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>
      <c r="A862" s="66"/>
      <c r="B862" s="67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>
      <c r="A863" s="66"/>
      <c r="B863" s="67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>
      <c r="A864" s="66"/>
      <c r="B864" s="67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>
      <c r="A865" s="66"/>
      <c r="B865" s="67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>
      <c r="A866" s="66"/>
      <c r="B866" s="67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>
      <c r="A867" s="66"/>
      <c r="B867" s="67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>
      <c r="A868" s="66"/>
      <c r="B868" s="67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>
      <c r="A869" s="66"/>
      <c r="B869" s="67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>
      <c r="A870" s="66"/>
      <c r="B870" s="67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>
      <c r="A871" s="66"/>
      <c r="B871" s="67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>
      <c r="A872" s="66"/>
      <c r="B872" s="67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>
      <c r="A873" s="66"/>
      <c r="B873" s="67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>
      <c r="A874" s="66"/>
      <c r="B874" s="67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>
      <c r="A875" s="66"/>
      <c r="B875" s="67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>
      <c r="A876" s="66"/>
      <c r="B876" s="67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>
      <c r="A877" s="66"/>
      <c r="B877" s="67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>
      <c r="A878" s="66"/>
      <c r="B878" s="67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>
      <c r="A879" s="66"/>
      <c r="B879" s="67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>
      <c r="A880" s="66"/>
      <c r="B880" s="67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>
      <c r="A881" s="66"/>
      <c r="B881" s="67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>
      <c r="A882" s="66"/>
      <c r="B882" s="67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>
      <c r="A883" s="66"/>
      <c r="B883" s="67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>
      <c r="A884" s="66"/>
      <c r="B884" s="67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>
      <c r="A885" s="66"/>
      <c r="B885" s="67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>
      <c r="A886" s="66"/>
      <c r="B886" s="67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>
      <c r="A887" s="66"/>
      <c r="B887" s="67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>
      <c r="A888" s="66"/>
      <c r="B888" s="67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>
      <c r="A889" s="66"/>
      <c r="B889" s="67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>
      <c r="A890" s="66"/>
      <c r="B890" s="67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>
      <c r="A891" s="66"/>
      <c r="B891" s="67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>
      <c r="A892" s="66"/>
      <c r="B892" s="67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>
      <c r="A893" s="66"/>
      <c r="B893" s="67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>
      <c r="A894" s="66"/>
      <c r="B894" s="67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>
      <c r="A895" s="66"/>
      <c r="B895" s="67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>
      <c r="A896" s="66"/>
      <c r="B896" s="67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>
      <c r="A897" s="66"/>
      <c r="B897" s="67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>
      <c r="A898" s="66"/>
      <c r="B898" s="67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>
      <c r="A899" s="66"/>
      <c r="B899" s="67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>
      <c r="A900" s="66"/>
      <c r="B900" s="67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>
      <c r="A901" s="66"/>
      <c r="B901" s="67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>
      <c r="A902" s="66"/>
      <c r="B902" s="67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>
      <c r="A903" s="66"/>
      <c r="B903" s="67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>
      <c r="A904" s="66"/>
      <c r="B904" s="67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>
      <c r="A905" s="66"/>
      <c r="B905" s="67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>
      <c r="A906" s="66"/>
      <c r="B906" s="67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>
      <c r="A907" s="66"/>
      <c r="B907" s="67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>
      <c r="A908" s="66"/>
      <c r="B908" s="67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>
      <c r="A909" s="66"/>
      <c r="B909" s="67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>
      <c r="A910" s="66"/>
      <c r="B910" s="67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>
      <c r="A911" s="66"/>
      <c r="B911" s="67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>
      <c r="A912" s="66"/>
      <c r="B912" s="67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>
      <c r="A913" s="66"/>
      <c r="B913" s="67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>
      <c r="A914" s="66"/>
      <c r="B914" s="67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>
      <c r="A915" s="66"/>
      <c r="B915" s="67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>
      <c r="A916" s="66"/>
      <c r="B916" s="67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>
      <c r="A917" s="66"/>
      <c r="B917" s="67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>
      <c r="A918" s="66"/>
      <c r="B918" s="67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>
      <c r="A919" s="66"/>
      <c r="B919" s="67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>
      <c r="A920" s="66"/>
      <c r="B920" s="67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>
      <c r="A921" s="66"/>
      <c r="B921" s="67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>
      <c r="A922" s="66"/>
      <c r="B922" s="67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>
      <c r="A923" s="66"/>
      <c r="B923" s="67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>
      <c r="A924" s="66"/>
      <c r="B924" s="67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>
      <c r="A925" s="66"/>
      <c r="B925" s="67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>
      <c r="A926" s="66"/>
      <c r="B926" s="67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>
      <c r="A927" s="66"/>
      <c r="B927" s="67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>
      <c r="A928" s="66"/>
      <c r="B928" s="67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>
      <c r="A929" s="66"/>
      <c r="B929" s="67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>
      <c r="A930" s="66"/>
      <c r="B930" s="67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>
      <c r="A931" s="66"/>
      <c r="B931" s="67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>
      <c r="A932" s="66"/>
      <c r="B932" s="67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>
      <c r="A933" s="66"/>
      <c r="B933" s="67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>
      <c r="A934" s="66"/>
      <c r="B934" s="67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>
      <c r="A935" s="66"/>
      <c r="B935" s="67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>
      <c r="A936" s="66"/>
      <c r="B936" s="67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>
      <c r="A937" s="66"/>
      <c r="B937" s="67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>
      <c r="A938" s="66"/>
      <c r="B938" s="67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>
      <c r="A939" s="66"/>
      <c r="B939" s="67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>
      <c r="A940" s="66"/>
      <c r="B940" s="67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>
      <c r="A941" s="66"/>
      <c r="B941" s="67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>
      <c r="A942" s="66"/>
      <c r="B942" s="67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>
      <c r="A943" s="66"/>
      <c r="B943" s="67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>
      <c r="A944" s="66"/>
      <c r="B944" s="67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>
      <c r="A945" s="66"/>
      <c r="B945" s="67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>
      <c r="A946" s="66"/>
      <c r="B946" s="67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>
      <c r="A947" s="66"/>
      <c r="B947" s="67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>
      <c r="A948" s="66"/>
      <c r="B948" s="67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>
      <c r="A949" s="66"/>
      <c r="B949" s="67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>
      <c r="A950" s="66"/>
      <c r="B950" s="67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>
      <c r="A951" s="66"/>
      <c r="B951" s="67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>
      <c r="A952" s="66"/>
      <c r="B952" s="67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>
      <c r="A953" s="66"/>
      <c r="B953" s="67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>
      <c r="A954" s="66"/>
      <c r="B954" s="67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>
      <c r="A955" s="66"/>
      <c r="B955" s="67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>
      <c r="A956" s="66"/>
      <c r="B956" s="67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>
      <c r="A957" s="66"/>
      <c r="B957" s="67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>
      <c r="A958" s="66"/>
      <c r="B958" s="67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>
      <c r="A959" s="66"/>
      <c r="B959" s="67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>
      <c r="A960" s="66"/>
      <c r="B960" s="67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>
      <c r="A961" s="66"/>
      <c r="B961" s="67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>
      <c r="A962" s="66"/>
      <c r="B962" s="67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>
      <c r="A963" s="66"/>
      <c r="B963" s="67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>
      <c r="A964" s="66"/>
      <c r="B964" s="67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>
      <c r="A965" s="66"/>
      <c r="B965" s="67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>
      <c r="A966" s="66"/>
      <c r="B966" s="67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>
      <c r="A967" s="66"/>
      <c r="B967" s="67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>
      <c r="A968" s="66"/>
      <c r="B968" s="67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>
      <c r="A969" s="66"/>
      <c r="B969" s="67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>
      <c r="A970" s="66"/>
      <c r="B970" s="67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>
      <c r="A971" s="66"/>
      <c r="B971" s="67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>
      <c r="A972" s="66"/>
      <c r="B972" s="67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>
      <c r="A973" s="66"/>
      <c r="B973" s="67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>
      <c r="A974" s="66"/>
      <c r="B974" s="67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>
      <c r="A975" s="66"/>
      <c r="B975" s="67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>
      <c r="A976" s="66"/>
      <c r="B976" s="67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>
      <c r="A977" s="66"/>
      <c r="B977" s="67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>
      <c r="A978" s="66"/>
      <c r="B978" s="67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>
      <c r="A979" s="66"/>
      <c r="B979" s="67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>
      <c r="A980" s="66"/>
      <c r="B980" s="67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>
      <c r="A981" s="66"/>
      <c r="B981" s="67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>
      <c r="A982" s="66"/>
      <c r="B982" s="67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>
      <c r="A983" s="66"/>
      <c r="B983" s="67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>
      <c r="A984" s="66"/>
      <c r="B984" s="67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>
      <c r="A985" s="66"/>
      <c r="B985" s="67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>
      <c r="A986" s="66"/>
      <c r="B986" s="67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>
      <c r="A987" s="66"/>
      <c r="B987" s="67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>
      <c r="A988" s="66"/>
      <c r="B988" s="67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>
      <c r="A989" s="66"/>
      <c r="B989" s="67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>
      <c r="A990" s="66"/>
      <c r="B990" s="67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>
      <c r="A991" s="66"/>
      <c r="B991" s="67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>
      <c r="A992" s="66"/>
      <c r="B992" s="67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>
      <c r="A993" s="66"/>
      <c r="B993" s="67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>
      <c r="A994" s="66"/>
      <c r="B994" s="67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>
      <c r="A995" s="66"/>
      <c r="B995" s="67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>
      <c r="A996" s="66"/>
      <c r="B996" s="67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>
      <c r="A997" s="66"/>
      <c r="B997" s="67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>
      <c r="A998" s="66"/>
      <c r="B998" s="67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>
      <c r="A999" s="66"/>
      <c r="B999" s="67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>
      <c r="A1000" s="66"/>
      <c r="B1000" s="67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>
      <c r="A1001" s="66"/>
      <c r="B1001" s="67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>
      <c r="A1002" s="66"/>
      <c r="B1002" s="67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>
      <c r="A1003" s="66"/>
      <c r="B1003" s="67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>
      <c r="A1004" s="66"/>
      <c r="B1004" s="67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>
      <c r="A1005" s="66"/>
      <c r="B1005" s="67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>
      <c r="A1006" s="66"/>
      <c r="B1006" s="67"/>
    </row>
    <row r="1007" spans="1:26">
      <c r="A1007" s="66"/>
      <c r="B1007" s="67"/>
    </row>
    <row r="1008" spans="1:26">
      <c r="A1008" s="66"/>
      <c r="B1008" s="67"/>
    </row>
    <row r="1009" spans="1:2">
      <c r="A1009" s="66"/>
      <c r="B1009" s="67"/>
    </row>
    <row r="1010" spans="1:2">
      <c r="A1010" s="66"/>
      <c r="B1010" s="67"/>
    </row>
    <row r="1011" spans="1:2">
      <c r="A1011" s="66"/>
      <c r="B1011" s="67"/>
    </row>
    <row r="1012" spans="1:2">
      <c r="A1012" s="66"/>
      <c r="B1012" s="67"/>
    </row>
    <row r="1013" spans="1:2">
      <c r="A1013" s="66"/>
      <c r="B1013" s="67"/>
    </row>
    <row r="1014" spans="1:2">
      <c r="A1014" s="66"/>
      <c r="B1014" s="67"/>
    </row>
    <row r="1015" spans="1:2">
      <c r="A1015" s="66"/>
      <c r="B1015" s="67"/>
    </row>
  </sheetData>
  <mergeCells count="11">
    <mergeCell ref="B39:D39"/>
    <mergeCell ref="B41:D41"/>
    <mergeCell ref="B49:D49"/>
    <mergeCell ref="B2:D2"/>
    <mergeCell ref="B13:D13"/>
    <mergeCell ref="B17:D17"/>
    <mergeCell ref="B21:D21"/>
    <mergeCell ref="B24:D24"/>
    <mergeCell ref="B31:D31"/>
    <mergeCell ref="B33:D33"/>
    <mergeCell ref="B11:D11"/>
  </mergeCells>
  <pageMargins left="0.7" right="0.7" top="0.75" bottom="0.75" header="0.3" footer="0.3"/>
  <pageSetup paperSize="10" scale="49" fitToHeight="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920A-B6E7-254C-B6E8-D89FF9477378}">
  <sheetPr>
    <pageSetUpPr fitToPage="1"/>
  </sheetPr>
  <dimension ref="A1:J67"/>
  <sheetViews>
    <sheetView topLeftCell="A63" zoomScale="160" zoomScaleNormal="160" workbookViewId="0">
      <selection activeCell="B71" sqref="B71"/>
    </sheetView>
  </sheetViews>
  <sheetFormatPr defaultColWidth="8.875" defaultRowHeight="15"/>
  <cols>
    <col min="1" max="1" width="8.875" style="1"/>
    <col min="2" max="2" width="50.5" style="2" bestFit="1" customWidth="1"/>
    <col min="3" max="257" width="8.875" style="2"/>
    <col min="258" max="258" width="37.875" style="2" customWidth="1"/>
    <col min="259" max="513" width="8.875" style="2"/>
    <col min="514" max="514" width="37.875" style="2" customWidth="1"/>
    <col min="515" max="769" width="8.875" style="2"/>
    <col min="770" max="770" width="37.875" style="2" customWidth="1"/>
    <col min="771" max="1025" width="8.875" style="2"/>
    <col min="1026" max="1026" width="37.875" style="2" customWidth="1"/>
    <col min="1027" max="1281" width="8.875" style="2"/>
    <col min="1282" max="1282" width="37.875" style="2" customWidth="1"/>
    <col min="1283" max="1537" width="8.875" style="2"/>
    <col min="1538" max="1538" width="37.875" style="2" customWidth="1"/>
    <col min="1539" max="1793" width="8.875" style="2"/>
    <col min="1794" max="1794" width="37.875" style="2" customWidth="1"/>
    <col min="1795" max="2049" width="8.875" style="2"/>
    <col min="2050" max="2050" width="37.875" style="2" customWidth="1"/>
    <col min="2051" max="2305" width="8.875" style="2"/>
    <col min="2306" max="2306" width="37.875" style="2" customWidth="1"/>
    <col min="2307" max="2561" width="8.875" style="2"/>
    <col min="2562" max="2562" width="37.875" style="2" customWidth="1"/>
    <col min="2563" max="2817" width="8.875" style="2"/>
    <col min="2818" max="2818" width="37.875" style="2" customWidth="1"/>
    <col min="2819" max="3073" width="8.875" style="2"/>
    <col min="3074" max="3074" width="37.875" style="2" customWidth="1"/>
    <col min="3075" max="3329" width="8.875" style="2"/>
    <col min="3330" max="3330" width="37.875" style="2" customWidth="1"/>
    <col min="3331" max="3585" width="8.875" style="2"/>
    <col min="3586" max="3586" width="37.875" style="2" customWidth="1"/>
    <col min="3587" max="3841" width="8.875" style="2"/>
    <col min="3842" max="3842" width="37.875" style="2" customWidth="1"/>
    <col min="3843" max="4097" width="8.875" style="2"/>
    <col min="4098" max="4098" width="37.875" style="2" customWidth="1"/>
    <col min="4099" max="4353" width="8.875" style="2"/>
    <col min="4354" max="4354" width="37.875" style="2" customWidth="1"/>
    <col min="4355" max="4609" width="8.875" style="2"/>
    <col min="4610" max="4610" width="37.875" style="2" customWidth="1"/>
    <col min="4611" max="4865" width="8.875" style="2"/>
    <col min="4866" max="4866" width="37.875" style="2" customWidth="1"/>
    <col min="4867" max="5121" width="8.875" style="2"/>
    <col min="5122" max="5122" width="37.875" style="2" customWidth="1"/>
    <col min="5123" max="5377" width="8.875" style="2"/>
    <col min="5378" max="5378" width="37.875" style="2" customWidth="1"/>
    <col min="5379" max="5633" width="8.875" style="2"/>
    <col min="5634" max="5634" width="37.875" style="2" customWidth="1"/>
    <col min="5635" max="5889" width="8.875" style="2"/>
    <col min="5890" max="5890" width="37.875" style="2" customWidth="1"/>
    <col min="5891" max="6145" width="8.875" style="2"/>
    <col min="6146" max="6146" width="37.875" style="2" customWidth="1"/>
    <col min="6147" max="6401" width="8.875" style="2"/>
    <col min="6402" max="6402" width="37.875" style="2" customWidth="1"/>
    <col min="6403" max="6657" width="8.875" style="2"/>
    <col min="6658" max="6658" width="37.875" style="2" customWidth="1"/>
    <col min="6659" max="6913" width="8.875" style="2"/>
    <col min="6914" max="6914" width="37.875" style="2" customWidth="1"/>
    <col min="6915" max="7169" width="8.875" style="2"/>
    <col min="7170" max="7170" width="37.875" style="2" customWidth="1"/>
    <col min="7171" max="7425" width="8.875" style="2"/>
    <col min="7426" max="7426" width="37.875" style="2" customWidth="1"/>
    <col min="7427" max="7681" width="8.875" style="2"/>
    <col min="7682" max="7682" width="37.875" style="2" customWidth="1"/>
    <col min="7683" max="7937" width="8.875" style="2"/>
    <col min="7938" max="7938" width="37.875" style="2" customWidth="1"/>
    <col min="7939" max="8193" width="8.875" style="2"/>
    <col min="8194" max="8194" width="37.875" style="2" customWidth="1"/>
    <col min="8195" max="8449" width="8.875" style="2"/>
    <col min="8450" max="8450" width="37.875" style="2" customWidth="1"/>
    <col min="8451" max="8705" width="8.875" style="2"/>
    <col min="8706" max="8706" width="37.875" style="2" customWidth="1"/>
    <col min="8707" max="8961" width="8.875" style="2"/>
    <col min="8962" max="8962" width="37.875" style="2" customWidth="1"/>
    <col min="8963" max="9217" width="8.875" style="2"/>
    <col min="9218" max="9218" width="37.875" style="2" customWidth="1"/>
    <col min="9219" max="9473" width="8.875" style="2"/>
    <col min="9474" max="9474" width="37.875" style="2" customWidth="1"/>
    <col min="9475" max="9729" width="8.875" style="2"/>
    <col min="9730" max="9730" width="37.875" style="2" customWidth="1"/>
    <col min="9731" max="9985" width="8.875" style="2"/>
    <col min="9986" max="9986" width="37.875" style="2" customWidth="1"/>
    <col min="9987" max="10241" width="8.875" style="2"/>
    <col min="10242" max="10242" width="37.875" style="2" customWidth="1"/>
    <col min="10243" max="10497" width="8.875" style="2"/>
    <col min="10498" max="10498" width="37.875" style="2" customWidth="1"/>
    <col min="10499" max="10753" width="8.875" style="2"/>
    <col min="10754" max="10754" width="37.875" style="2" customWidth="1"/>
    <col min="10755" max="11009" width="8.875" style="2"/>
    <col min="11010" max="11010" width="37.875" style="2" customWidth="1"/>
    <col min="11011" max="11265" width="8.875" style="2"/>
    <col min="11266" max="11266" width="37.875" style="2" customWidth="1"/>
    <col min="11267" max="11521" width="8.875" style="2"/>
    <col min="11522" max="11522" width="37.875" style="2" customWidth="1"/>
    <col min="11523" max="11777" width="8.875" style="2"/>
    <col min="11778" max="11778" width="37.875" style="2" customWidth="1"/>
    <col min="11779" max="12033" width="8.875" style="2"/>
    <col min="12034" max="12034" width="37.875" style="2" customWidth="1"/>
    <col min="12035" max="12289" width="8.875" style="2"/>
    <col min="12290" max="12290" width="37.875" style="2" customWidth="1"/>
    <col min="12291" max="12545" width="8.875" style="2"/>
    <col min="12546" max="12546" width="37.875" style="2" customWidth="1"/>
    <col min="12547" max="12801" width="8.875" style="2"/>
    <col min="12802" max="12802" width="37.875" style="2" customWidth="1"/>
    <col min="12803" max="13057" width="8.875" style="2"/>
    <col min="13058" max="13058" width="37.875" style="2" customWidth="1"/>
    <col min="13059" max="13313" width="8.875" style="2"/>
    <col min="13314" max="13314" width="37.875" style="2" customWidth="1"/>
    <col min="13315" max="13569" width="8.875" style="2"/>
    <col min="13570" max="13570" width="37.875" style="2" customWidth="1"/>
    <col min="13571" max="13825" width="8.875" style="2"/>
    <col min="13826" max="13826" width="37.875" style="2" customWidth="1"/>
    <col min="13827" max="14081" width="8.875" style="2"/>
    <col min="14082" max="14082" width="37.875" style="2" customWidth="1"/>
    <col min="14083" max="14337" width="8.875" style="2"/>
    <col min="14338" max="14338" width="37.875" style="2" customWidth="1"/>
    <col min="14339" max="14593" width="8.875" style="2"/>
    <col min="14594" max="14594" width="37.875" style="2" customWidth="1"/>
    <col min="14595" max="14849" width="8.875" style="2"/>
    <col min="14850" max="14850" width="37.875" style="2" customWidth="1"/>
    <col min="14851" max="15105" width="8.875" style="2"/>
    <col min="15106" max="15106" width="37.875" style="2" customWidth="1"/>
    <col min="15107" max="15361" width="8.875" style="2"/>
    <col min="15362" max="15362" width="37.875" style="2" customWidth="1"/>
    <col min="15363" max="15617" width="8.875" style="2"/>
    <col min="15618" max="15618" width="37.875" style="2" customWidth="1"/>
    <col min="15619" max="15873" width="8.875" style="2"/>
    <col min="15874" max="15874" width="37.875" style="2" customWidth="1"/>
    <col min="15875" max="16129" width="8.875" style="2"/>
    <col min="16130" max="16130" width="37.875" style="2" customWidth="1"/>
    <col min="16131" max="16384" width="8.875" style="2"/>
  </cols>
  <sheetData>
    <row r="1" spans="1:10" ht="17.100000000000001" customHeight="1">
      <c r="A1" s="114" t="s">
        <v>31</v>
      </c>
      <c r="B1" s="114"/>
      <c r="C1" s="114"/>
    </row>
    <row r="2" spans="1:10" s="3" customFormat="1">
      <c r="A2" s="113" t="s">
        <v>145</v>
      </c>
      <c r="B2" s="113"/>
      <c r="C2" s="113"/>
    </row>
    <row r="3" spans="1:10" s="4" customFormat="1" ht="15.75" thickBot="1">
      <c r="A3" s="23"/>
      <c r="B3" s="24"/>
      <c r="C3" s="25" t="s">
        <v>32</v>
      </c>
    </row>
    <row r="4" spans="1:10" s="4" customFormat="1" ht="15.75" thickBot="1">
      <c r="A4" s="26" t="s">
        <v>33</v>
      </c>
      <c r="B4" s="27"/>
      <c r="C4" s="27"/>
    </row>
    <row r="5" spans="1:10" s="4" customFormat="1" ht="15.75" thickBot="1">
      <c r="A5" s="28">
        <v>1</v>
      </c>
      <c r="B5" s="29" t="s">
        <v>126</v>
      </c>
      <c r="C5" s="30">
        <v>1</v>
      </c>
    </row>
    <row r="6" spans="1:10" s="4" customFormat="1" ht="18" customHeight="1" thickBot="1">
      <c r="A6" s="28">
        <v>2</v>
      </c>
      <c r="B6" s="29" t="s">
        <v>127</v>
      </c>
      <c r="C6" s="30">
        <v>1</v>
      </c>
    </row>
    <row r="7" spans="1:10" s="4" customFormat="1" ht="15.75" thickBot="1">
      <c r="A7" s="28">
        <v>3</v>
      </c>
      <c r="B7" s="29" t="s">
        <v>146</v>
      </c>
      <c r="C7" s="30">
        <v>1</v>
      </c>
    </row>
    <row r="8" spans="1:10" s="4" customFormat="1" ht="15.75" thickBot="1">
      <c r="A8" s="28">
        <v>4</v>
      </c>
      <c r="B8" s="29" t="s">
        <v>125</v>
      </c>
      <c r="C8" s="30">
        <v>1</v>
      </c>
      <c r="J8" s="69"/>
    </row>
    <row r="9" spans="1:10" s="4" customFormat="1" ht="15.75" thickBot="1">
      <c r="A9" s="28">
        <v>5</v>
      </c>
      <c r="B9" s="29" t="s">
        <v>128</v>
      </c>
      <c r="C9" s="30">
        <v>1</v>
      </c>
      <c r="J9" s="69"/>
    </row>
    <row r="10" spans="1:10" s="4" customFormat="1" ht="15.75" thickBot="1">
      <c r="A10" s="28">
        <v>6</v>
      </c>
      <c r="B10" s="29" t="s">
        <v>129</v>
      </c>
      <c r="C10" s="30">
        <v>1</v>
      </c>
    </row>
    <row r="11" spans="1:10" s="4" customFormat="1" ht="15.75" thickBot="1">
      <c r="A11" s="28">
        <v>7</v>
      </c>
      <c r="B11" s="29" t="s">
        <v>130</v>
      </c>
      <c r="C11" s="30">
        <v>1</v>
      </c>
    </row>
    <row r="12" spans="1:10" s="4" customFormat="1" ht="26.25" thickBot="1">
      <c r="A12" s="28">
        <v>8</v>
      </c>
      <c r="B12" s="29" t="s">
        <v>131</v>
      </c>
      <c r="C12" s="30">
        <v>1</v>
      </c>
    </row>
    <row r="13" spans="1:10" s="4" customFormat="1" ht="15.75" thickBot="1">
      <c r="A13" s="28">
        <v>9</v>
      </c>
      <c r="B13" s="29" t="s">
        <v>121</v>
      </c>
      <c r="C13" s="30">
        <v>1</v>
      </c>
    </row>
    <row r="14" spans="1:10" s="4" customFormat="1" ht="15.75" thickBot="1">
      <c r="A14" s="26" t="s">
        <v>34</v>
      </c>
      <c r="B14" s="31"/>
      <c r="C14" s="27"/>
    </row>
    <row r="15" spans="1:10" s="4" customFormat="1" ht="15.75" thickBot="1">
      <c r="A15" s="28">
        <v>1</v>
      </c>
      <c r="B15" s="29" t="s">
        <v>122</v>
      </c>
      <c r="C15" s="30">
        <v>1</v>
      </c>
    </row>
    <row r="16" spans="1:10" s="4" customFormat="1" ht="15.75" thickBot="1">
      <c r="A16" s="28">
        <v>2</v>
      </c>
      <c r="B16" s="73" t="s">
        <v>113</v>
      </c>
      <c r="C16" s="30">
        <v>1</v>
      </c>
    </row>
    <row r="17" spans="1:3" s="4" customFormat="1" ht="15.75" thickBot="1">
      <c r="A17" s="28">
        <v>3</v>
      </c>
      <c r="B17" s="73" t="s">
        <v>147</v>
      </c>
      <c r="C17" s="30">
        <v>1</v>
      </c>
    </row>
    <row r="18" spans="1:3" s="4" customFormat="1" ht="15.75" thickBot="1">
      <c r="A18" s="28">
        <v>4</v>
      </c>
      <c r="B18" s="73" t="s">
        <v>148</v>
      </c>
      <c r="C18" s="30">
        <v>1</v>
      </c>
    </row>
    <row r="19" spans="1:3" s="4" customFormat="1" ht="15.75" thickBot="1">
      <c r="A19" s="26" t="s">
        <v>35</v>
      </c>
      <c r="B19" s="31"/>
      <c r="C19" s="27"/>
    </row>
    <row r="20" spans="1:3" s="4" customFormat="1" ht="15.75" thickBot="1">
      <c r="A20" s="28">
        <v>1</v>
      </c>
      <c r="B20" s="29" t="s">
        <v>132</v>
      </c>
      <c r="C20" s="30">
        <v>1</v>
      </c>
    </row>
    <row r="21" spans="1:3" s="4" customFormat="1" ht="15.75" thickBot="1">
      <c r="A21" s="28">
        <v>2</v>
      </c>
      <c r="B21" s="73" t="s">
        <v>133</v>
      </c>
      <c r="C21" s="30">
        <v>1</v>
      </c>
    </row>
    <row r="22" spans="1:3" s="4" customFormat="1" ht="26.25" thickBot="1">
      <c r="A22" s="28">
        <v>3</v>
      </c>
      <c r="B22" s="73" t="s">
        <v>135</v>
      </c>
      <c r="C22" s="30">
        <v>1</v>
      </c>
    </row>
    <row r="23" spans="1:3" s="4" customFormat="1" ht="15.75" thickBot="1">
      <c r="A23" s="28">
        <v>4</v>
      </c>
      <c r="B23" s="29" t="s">
        <v>124</v>
      </c>
      <c r="C23" s="30">
        <v>1</v>
      </c>
    </row>
    <row r="24" spans="1:3" s="4" customFormat="1" ht="15.75" thickBot="1">
      <c r="A24" s="28">
        <v>5</v>
      </c>
      <c r="B24" s="73" t="s">
        <v>109</v>
      </c>
      <c r="C24" s="30">
        <v>1</v>
      </c>
    </row>
    <row r="25" spans="1:3" s="4" customFormat="1" ht="15.75" thickBot="1">
      <c r="A25" s="26" t="s">
        <v>149</v>
      </c>
      <c r="B25" s="31"/>
      <c r="C25" s="27"/>
    </row>
    <row r="26" spans="1:3" s="4" customFormat="1" ht="15.75" thickBot="1">
      <c r="A26" s="28">
        <v>1</v>
      </c>
      <c r="B26" s="73" t="s">
        <v>112</v>
      </c>
      <c r="C26" s="30">
        <v>1</v>
      </c>
    </row>
    <row r="27" spans="1:3" s="4" customFormat="1" ht="15.75" thickBot="1">
      <c r="A27" s="28">
        <v>2</v>
      </c>
      <c r="B27" s="73" t="s">
        <v>52</v>
      </c>
      <c r="C27" s="30">
        <v>1</v>
      </c>
    </row>
    <row r="28" spans="1:3" s="4" customFormat="1" ht="15.75" thickBot="1">
      <c r="A28" s="28">
        <v>3</v>
      </c>
      <c r="B28" s="73" t="s">
        <v>110</v>
      </c>
      <c r="C28" s="30">
        <v>1</v>
      </c>
    </row>
    <row r="29" spans="1:3" s="4" customFormat="1" ht="15.75" thickBot="1">
      <c r="A29" s="28">
        <v>4</v>
      </c>
      <c r="B29" s="29" t="s">
        <v>106</v>
      </c>
      <c r="C29" s="32">
        <v>1</v>
      </c>
    </row>
    <row r="30" spans="1:3" s="4" customFormat="1" ht="15.75" thickBot="1">
      <c r="A30" s="26" t="s">
        <v>111</v>
      </c>
      <c r="B30" s="31"/>
      <c r="C30" s="27"/>
    </row>
    <row r="31" spans="1:3" s="4" customFormat="1" ht="15.75" thickBot="1">
      <c r="A31" s="28">
        <v>1</v>
      </c>
      <c r="B31" s="29" t="s">
        <v>89</v>
      </c>
      <c r="C31" s="30">
        <v>1</v>
      </c>
    </row>
    <row r="32" spans="1:3" s="4" customFormat="1" ht="15.75" thickBot="1">
      <c r="A32" s="28">
        <v>2</v>
      </c>
      <c r="B32" s="29" t="s">
        <v>38</v>
      </c>
      <c r="C32" s="30">
        <v>1</v>
      </c>
    </row>
    <row r="33" spans="1:3" s="4" customFormat="1" ht="15.75" thickBot="1">
      <c r="A33" s="28">
        <v>3</v>
      </c>
      <c r="B33" s="29" t="s">
        <v>134</v>
      </c>
      <c r="C33" s="30">
        <v>1</v>
      </c>
    </row>
    <row r="34" spans="1:3" s="4" customFormat="1" ht="15.75" thickBot="1">
      <c r="A34" s="28">
        <v>4</v>
      </c>
      <c r="B34" s="29" t="s">
        <v>39</v>
      </c>
      <c r="C34" s="30">
        <v>1</v>
      </c>
    </row>
    <row r="35" spans="1:3" s="4" customFormat="1" ht="26.25" thickBot="1">
      <c r="A35" s="28">
        <v>5</v>
      </c>
      <c r="B35" s="73" t="s">
        <v>107</v>
      </c>
      <c r="C35" s="30">
        <v>1</v>
      </c>
    </row>
    <row r="36" spans="1:3" s="4" customFormat="1" ht="26.25" thickBot="1">
      <c r="A36" s="28">
        <v>6</v>
      </c>
      <c r="B36" s="29" t="s">
        <v>114</v>
      </c>
      <c r="C36" s="30">
        <v>1</v>
      </c>
    </row>
    <row r="37" spans="1:3" s="4" customFormat="1" ht="26.25" thickBot="1">
      <c r="A37" s="28">
        <v>7</v>
      </c>
      <c r="B37" s="29" t="s">
        <v>115</v>
      </c>
      <c r="C37" s="30">
        <v>1</v>
      </c>
    </row>
    <row r="38" spans="1:3" s="4" customFormat="1" ht="26.25" thickBot="1">
      <c r="A38" s="28">
        <v>9</v>
      </c>
      <c r="B38" s="73" t="s">
        <v>118</v>
      </c>
      <c r="C38" s="30">
        <v>1</v>
      </c>
    </row>
    <row r="39" spans="1:3" s="4" customFormat="1" ht="15.75" thickBot="1">
      <c r="A39" s="26" t="s">
        <v>40</v>
      </c>
      <c r="B39" s="31"/>
      <c r="C39" s="27"/>
    </row>
    <row r="40" spans="1:3" s="4" customFormat="1" ht="15.75" thickBot="1">
      <c r="A40" s="28">
        <v>1</v>
      </c>
      <c r="B40" s="73" t="s">
        <v>108</v>
      </c>
      <c r="C40" s="30">
        <v>1</v>
      </c>
    </row>
    <row r="41" spans="1:3" s="4" customFormat="1" ht="15.75" thickBot="1">
      <c r="A41" s="28">
        <v>2</v>
      </c>
      <c r="B41" s="73" t="s">
        <v>41</v>
      </c>
      <c r="C41" s="30">
        <v>1</v>
      </c>
    </row>
    <row r="42" spans="1:3" s="4" customFormat="1" ht="15.75" thickBot="1">
      <c r="A42" s="28">
        <v>3</v>
      </c>
      <c r="B42" s="73" t="s">
        <v>42</v>
      </c>
      <c r="C42" s="30">
        <v>1</v>
      </c>
    </row>
    <row r="43" spans="1:3" s="4" customFormat="1" ht="15.75" thickBot="1">
      <c r="A43" s="28">
        <v>4</v>
      </c>
      <c r="B43" s="73" t="s">
        <v>43</v>
      </c>
      <c r="C43" s="30">
        <v>1</v>
      </c>
    </row>
    <row r="44" spans="1:3" s="4" customFormat="1" ht="15.75" thickBot="1">
      <c r="A44" s="28">
        <v>5</v>
      </c>
      <c r="B44" s="73" t="s">
        <v>150</v>
      </c>
      <c r="C44" s="30">
        <v>1</v>
      </c>
    </row>
    <row r="45" spans="1:3" s="4" customFormat="1" ht="26.25" thickBot="1">
      <c r="A45" s="28">
        <v>6</v>
      </c>
      <c r="B45" s="29" t="s">
        <v>136</v>
      </c>
      <c r="C45" s="30">
        <v>1</v>
      </c>
    </row>
    <row r="46" spans="1:3" s="4" customFormat="1" ht="15.75" thickBot="1">
      <c r="A46" s="28">
        <v>7</v>
      </c>
      <c r="B46" s="73" t="s">
        <v>117</v>
      </c>
      <c r="C46" s="30">
        <v>1</v>
      </c>
    </row>
    <row r="47" spans="1:3" s="4" customFormat="1" ht="15.75" thickBot="1">
      <c r="A47" s="26" t="s">
        <v>44</v>
      </c>
      <c r="B47" s="31"/>
      <c r="C47" s="27"/>
    </row>
    <row r="48" spans="1:3" s="4" customFormat="1" ht="15.75" thickBot="1">
      <c r="A48" s="28">
        <v>1</v>
      </c>
      <c r="B48" s="29" t="s">
        <v>16</v>
      </c>
      <c r="C48" s="30">
        <v>1</v>
      </c>
    </row>
    <row r="49" spans="1:10" s="4" customFormat="1" ht="15.75" thickBot="1">
      <c r="A49" s="28">
        <v>2</v>
      </c>
      <c r="B49" s="73" t="s">
        <v>45</v>
      </c>
      <c r="C49" s="30">
        <v>1</v>
      </c>
      <c r="D49" s="70"/>
    </row>
    <row r="50" spans="1:10" s="4" customFormat="1" ht="15.75" thickBot="1">
      <c r="A50" s="28">
        <v>3</v>
      </c>
      <c r="B50" s="29" t="s">
        <v>15</v>
      </c>
      <c r="C50" s="30">
        <v>1</v>
      </c>
    </row>
    <row r="51" spans="1:10" s="4" customFormat="1" ht="15.75" thickBot="1">
      <c r="A51" s="28">
        <v>4</v>
      </c>
      <c r="B51" s="29" t="s">
        <v>17</v>
      </c>
      <c r="C51" s="30">
        <v>1</v>
      </c>
      <c r="D51" s="70"/>
    </row>
    <row r="52" spans="1:10" s="4" customFormat="1" ht="15.75" thickBot="1">
      <c r="A52" s="28">
        <v>5</v>
      </c>
      <c r="B52" s="29" t="s">
        <v>119</v>
      </c>
      <c r="C52" s="30">
        <v>1</v>
      </c>
    </row>
    <row r="53" spans="1:10" s="4" customFormat="1" ht="15.75" thickBot="1">
      <c r="A53" s="28">
        <v>6</v>
      </c>
      <c r="B53" s="73" t="s">
        <v>116</v>
      </c>
      <c r="C53" s="30">
        <v>1</v>
      </c>
      <c r="D53" s="70"/>
    </row>
    <row r="54" spans="1:10" s="4" customFormat="1" ht="15.75" thickBot="1">
      <c r="A54" s="28">
        <v>7</v>
      </c>
      <c r="B54" s="29" t="s">
        <v>18</v>
      </c>
      <c r="C54" s="30">
        <v>1</v>
      </c>
    </row>
    <row r="55" spans="1:10" s="4" customFormat="1" ht="26.25" thickBot="1">
      <c r="A55" s="28">
        <v>8</v>
      </c>
      <c r="B55" s="73" t="s">
        <v>96</v>
      </c>
      <c r="C55" s="30">
        <v>1</v>
      </c>
    </row>
    <row r="56" spans="1:10" s="4" customFormat="1" ht="15.75" thickBot="1">
      <c r="A56" s="28">
        <v>9</v>
      </c>
      <c r="B56" s="4" t="s">
        <v>120</v>
      </c>
      <c r="C56" s="30">
        <v>1</v>
      </c>
    </row>
    <row r="57" spans="1:10" s="4" customFormat="1" ht="15.75" thickBot="1">
      <c r="A57" s="28">
        <v>10</v>
      </c>
      <c r="B57" s="4" t="s">
        <v>151</v>
      </c>
      <c r="C57" s="30">
        <v>1</v>
      </c>
    </row>
    <row r="58" spans="1:10" s="4" customFormat="1" ht="15.75" thickBot="1">
      <c r="A58" s="26" t="s">
        <v>88</v>
      </c>
      <c r="B58" s="31"/>
      <c r="C58" s="27"/>
      <c r="J58" s="69"/>
    </row>
    <row r="59" spans="1:10" s="4" customFormat="1" ht="15.75" thickBot="1">
      <c r="A59" s="28">
        <v>1</v>
      </c>
      <c r="B59" s="29" t="s">
        <v>137</v>
      </c>
      <c r="C59" s="30">
        <v>1</v>
      </c>
      <c r="D59" s="71"/>
    </row>
    <row r="60" spans="1:10" s="4" customFormat="1" ht="15.75" thickBot="1">
      <c r="A60" s="28">
        <v>2</v>
      </c>
      <c r="B60" s="29" t="s">
        <v>138</v>
      </c>
      <c r="C60" s="30">
        <v>1</v>
      </c>
    </row>
    <row r="61" spans="1:10" s="4" customFormat="1" ht="15.75" thickBot="1">
      <c r="A61" s="28">
        <v>3</v>
      </c>
      <c r="B61" s="29" t="s">
        <v>152</v>
      </c>
      <c r="C61" s="30">
        <v>1</v>
      </c>
    </row>
    <row r="62" spans="1:10" s="4" customFormat="1" ht="15.75" thickBot="1">
      <c r="A62" s="33">
        <v>4</v>
      </c>
      <c r="B62" s="74" t="s">
        <v>153</v>
      </c>
      <c r="C62" s="30">
        <v>1</v>
      </c>
    </row>
    <row r="63" spans="1:10" ht="15.75" thickBot="1">
      <c r="A63" s="26" t="s">
        <v>46</v>
      </c>
      <c r="B63" s="31"/>
      <c r="C63" s="27"/>
    </row>
    <row r="64" spans="1:10" ht="26.25" thickBot="1">
      <c r="A64" s="28">
        <v>1</v>
      </c>
      <c r="B64" s="29" t="s">
        <v>142</v>
      </c>
      <c r="C64" s="30">
        <v>1</v>
      </c>
    </row>
    <row r="65" spans="1:3" ht="15.75" thickBot="1">
      <c r="A65" s="28">
        <v>2</v>
      </c>
      <c r="B65" s="29" t="s">
        <v>141</v>
      </c>
      <c r="C65" s="30">
        <v>1</v>
      </c>
    </row>
    <row r="66" spans="1:3" ht="15.75" thickBot="1">
      <c r="A66" s="28">
        <v>3</v>
      </c>
      <c r="B66" s="2" t="s">
        <v>139</v>
      </c>
      <c r="C66" s="30">
        <v>1</v>
      </c>
    </row>
    <row r="67" spans="1:3" ht="15.75" thickBot="1">
      <c r="A67" s="33">
        <v>4</v>
      </c>
      <c r="B67" s="74" t="s">
        <v>140</v>
      </c>
      <c r="C67" s="30">
        <v>1</v>
      </c>
    </row>
  </sheetData>
  <mergeCells count="2">
    <mergeCell ref="A2:C2"/>
    <mergeCell ref="A1:C1"/>
  </mergeCells>
  <pageMargins left="0.7" right="0.7" top="0.75" bottom="0.75" header="0.3" footer="0.3"/>
  <pageSetup paperSize="10" scale="61" firstPageNumber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E14"/>
  <sheetViews>
    <sheetView zoomScale="90" zoomScaleNormal="90" workbookViewId="0">
      <selection activeCell="D13" sqref="D13"/>
    </sheetView>
  </sheetViews>
  <sheetFormatPr defaultColWidth="8.875" defaultRowHeight="20.25"/>
  <cols>
    <col min="1" max="1" width="2" style="34" customWidth="1"/>
    <col min="2" max="2" width="4.375" style="34" customWidth="1"/>
    <col min="3" max="3" width="47" style="34" customWidth="1"/>
    <col min="4" max="4" width="22.375" style="34" customWidth="1"/>
    <col min="5" max="5" width="23.625" style="34" customWidth="1"/>
    <col min="6" max="255" width="9" style="34"/>
    <col min="256" max="256" width="2" style="34" customWidth="1"/>
    <col min="257" max="257" width="4.375" style="34" customWidth="1"/>
    <col min="258" max="258" width="5.5" style="34" customWidth="1"/>
    <col min="259" max="259" width="47" style="34" customWidth="1"/>
    <col min="260" max="260" width="22.375" style="34" customWidth="1"/>
    <col min="261" max="511" width="9" style="34"/>
    <col min="512" max="512" width="2" style="34" customWidth="1"/>
    <col min="513" max="513" width="4.375" style="34" customWidth="1"/>
    <col min="514" max="514" width="5.5" style="34" customWidth="1"/>
    <col min="515" max="515" width="47" style="34" customWidth="1"/>
    <col min="516" max="516" width="22.375" style="34" customWidth="1"/>
    <col min="517" max="767" width="9" style="34"/>
    <col min="768" max="768" width="2" style="34" customWidth="1"/>
    <col min="769" max="769" width="4.375" style="34" customWidth="1"/>
    <col min="770" max="770" width="5.5" style="34" customWidth="1"/>
    <col min="771" max="771" width="47" style="34" customWidth="1"/>
    <col min="772" max="772" width="22.375" style="34" customWidth="1"/>
    <col min="773" max="1023" width="9" style="34"/>
    <col min="1024" max="1024" width="2" style="34" customWidth="1"/>
    <col min="1025" max="1025" width="4.375" style="34" customWidth="1"/>
    <col min="1026" max="1026" width="5.5" style="34" customWidth="1"/>
    <col min="1027" max="1027" width="47" style="34" customWidth="1"/>
    <col min="1028" max="1028" width="22.375" style="34" customWidth="1"/>
    <col min="1029" max="1279" width="9" style="34"/>
    <col min="1280" max="1280" width="2" style="34" customWidth="1"/>
    <col min="1281" max="1281" width="4.375" style="34" customWidth="1"/>
    <col min="1282" max="1282" width="5.5" style="34" customWidth="1"/>
    <col min="1283" max="1283" width="47" style="34" customWidth="1"/>
    <col min="1284" max="1284" width="22.375" style="34" customWidth="1"/>
    <col min="1285" max="1535" width="9" style="34"/>
    <col min="1536" max="1536" width="2" style="34" customWidth="1"/>
    <col min="1537" max="1537" width="4.375" style="34" customWidth="1"/>
    <col min="1538" max="1538" width="5.5" style="34" customWidth="1"/>
    <col min="1539" max="1539" width="47" style="34" customWidth="1"/>
    <col min="1540" max="1540" width="22.375" style="34" customWidth="1"/>
    <col min="1541" max="1791" width="9" style="34"/>
    <col min="1792" max="1792" width="2" style="34" customWidth="1"/>
    <col min="1793" max="1793" width="4.375" style="34" customWidth="1"/>
    <col min="1794" max="1794" width="5.5" style="34" customWidth="1"/>
    <col min="1795" max="1795" width="47" style="34" customWidth="1"/>
    <col min="1796" max="1796" width="22.375" style="34" customWidth="1"/>
    <col min="1797" max="2047" width="9" style="34"/>
    <col min="2048" max="2048" width="2" style="34" customWidth="1"/>
    <col min="2049" max="2049" width="4.375" style="34" customWidth="1"/>
    <col min="2050" max="2050" width="5.5" style="34" customWidth="1"/>
    <col min="2051" max="2051" width="47" style="34" customWidth="1"/>
    <col min="2052" max="2052" width="22.375" style="34" customWidth="1"/>
    <col min="2053" max="2303" width="9" style="34"/>
    <col min="2304" max="2304" width="2" style="34" customWidth="1"/>
    <col min="2305" max="2305" width="4.375" style="34" customWidth="1"/>
    <col min="2306" max="2306" width="5.5" style="34" customWidth="1"/>
    <col min="2307" max="2307" width="47" style="34" customWidth="1"/>
    <col min="2308" max="2308" width="22.375" style="34" customWidth="1"/>
    <col min="2309" max="2559" width="9" style="34"/>
    <col min="2560" max="2560" width="2" style="34" customWidth="1"/>
    <col min="2561" max="2561" width="4.375" style="34" customWidth="1"/>
    <col min="2562" max="2562" width="5.5" style="34" customWidth="1"/>
    <col min="2563" max="2563" width="47" style="34" customWidth="1"/>
    <col min="2564" max="2564" width="22.375" style="34" customWidth="1"/>
    <col min="2565" max="2815" width="9" style="34"/>
    <col min="2816" max="2816" width="2" style="34" customWidth="1"/>
    <col min="2817" max="2817" width="4.375" style="34" customWidth="1"/>
    <col min="2818" max="2818" width="5.5" style="34" customWidth="1"/>
    <col min="2819" max="2819" width="47" style="34" customWidth="1"/>
    <col min="2820" max="2820" width="22.375" style="34" customWidth="1"/>
    <col min="2821" max="3071" width="9" style="34"/>
    <col min="3072" max="3072" width="2" style="34" customWidth="1"/>
    <col min="3073" max="3073" width="4.375" style="34" customWidth="1"/>
    <col min="3074" max="3074" width="5.5" style="34" customWidth="1"/>
    <col min="3075" max="3075" width="47" style="34" customWidth="1"/>
    <col min="3076" max="3076" width="22.375" style="34" customWidth="1"/>
    <col min="3077" max="3327" width="9" style="34"/>
    <col min="3328" max="3328" width="2" style="34" customWidth="1"/>
    <col min="3329" max="3329" width="4.375" style="34" customWidth="1"/>
    <col min="3330" max="3330" width="5.5" style="34" customWidth="1"/>
    <col min="3331" max="3331" width="47" style="34" customWidth="1"/>
    <col min="3332" max="3332" width="22.375" style="34" customWidth="1"/>
    <col min="3333" max="3583" width="9" style="34"/>
    <col min="3584" max="3584" width="2" style="34" customWidth="1"/>
    <col min="3585" max="3585" width="4.375" style="34" customWidth="1"/>
    <col min="3586" max="3586" width="5.5" style="34" customWidth="1"/>
    <col min="3587" max="3587" width="47" style="34" customWidth="1"/>
    <col min="3588" max="3588" width="22.375" style="34" customWidth="1"/>
    <col min="3589" max="3839" width="9" style="34"/>
    <col min="3840" max="3840" width="2" style="34" customWidth="1"/>
    <col min="3841" max="3841" width="4.375" style="34" customWidth="1"/>
    <col min="3842" max="3842" width="5.5" style="34" customWidth="1"/>
    <col min="3843" max="3843" width="47" style="34" customWidth="1"/>
    <col min="3844" max="3844" width="22.375" style="34" customWidth="1"/>
    <col min="3845" max="4095" width="9" style="34"/>
    <col min="4096" max="4096" width="2" style="34" customWidth="1"/>
    <col min="4097" max="4097" width="4.375" style="34" customWidth="1"/>
    <col min="4098" max="4098" width="5.5" style="34" customWidth="1"/>
    <col min="4099" max="4099" width="47" style="34" customWidth="1"/>
    <col min="4100" max="4100" width="22.375" style="34" customWidth="1"/>
    <col min="4101" max="4351" width="9" style="34"/>
    <col min="4352" max="4352" width="2" style="34" customWidth="1"/>
    <col min="4353" max="4353" width="4.375" style="34" customWidth="1"/>
    <col min="4354" max="4354" width="5.5" style="34" customWidth="1"/>
    <col min="4355" max="4355" width="47" style="34" customWidth="1"/>
    <col min="4356" max="4356" width="22.375" style="34" customWidth="1"/>
    <col min="4357" max="4607" width="9" style="34"/>
    <col min="4608" max="4608" width="2" style="34" customWidth="1"/>
    <col min="4609" max="4609" width="4.375" style="34" customWidth="1"/>
    <col min="4610" max="4610" width="5.5" style="34" customWidth="1"/>
    <col min="4611" max="4611" width="47" style="34" customWidth="1"/>
    <col min="4612" max="4612" width="22.375" style="34" customWidth="1"/>
    <col min="4613" max="4863" width="9" style="34"/>
    <col min="4864" max="4864" width="2" style="34" customWidth="1"/>
    <col min="4865" max="4865" width="4.375" style="34" customWidth="1"/>
    <col min="4866" max="4866" width="5.5" style="34" customWidth="1"/>
    <col min="4867" max="4867" width="47" style="34" customWidth="1"/>
    <col min="4868" max="4868" width="22.375" style="34" customWidth="1"/>
    <col min="4869" max="5119" width="9" style="34"/>
    <col min="5120" max="5120" width="2" style="34" customWidth="1"/>
    <col min="5121" max="5121" width="4.375" style="34" customWidth="1"/>
    <col min="5122" max="5122" width="5.5" style="34" customWidth="1"/>
    <col min="5123" max="5123" width="47" style="34" customWidth="1"/>
    <col min="5124" max="5124" width="22.375" style="34" customWidth="1"/>
    <col min="5125" max="5375" width="9" style="34"/>
    <col min="5376" max="5376" width="2" style="34" customWidth="1"/>
    <col min="5377" max="5377" width="4.375" style="34" customWidth="1"/>
    <col min="5378" max="5378" width="5.5" style="34" customWidth="1"/>
    <col min="5379" max="5379" width="47" style="34" customWidth="1"/>
    <col min="5380" max="5380" width="22.375" style="34" customWidth="1"/>
    <col min="5381" max="5631" width="9" style="34"/>
    <col min="5632" max="5632" width="2" style="34" customWidth="1"/>
    <col min="5633" max="5633" width="4.375" style="34" customWidth="1"/>
    <col min="5634" max="5634" width="5.5" style="34" customWidth="1"/>
    <col min="5635" max="5635" width="47" style="34" customWidth="1"/>
    <col min="5636" max="5636" width="22.375" style="34" customWidth="1"/>
    <col min="5637" max="5887" width="9" style="34"/>
    <col min="5888" max="5888" width="2" style="34" customWidth="1"/>
    <col min="5889" max="5889" width="4.375" style="34" customWidth="1"/>
    <col min="5890" max="5890" width="5.5" style="34" customWidth="1"/>
    <col min="5891" max="5891" width="47" style="34" customWidth="1"/>
    <col min="5892" max="5892" width="22.375" style="34" customWidth="1"/>
    <col min="5893" max="6143" width="9" style="34"/>
    <col min="6144" max="6144" width="2" style="34" customWidth="1"/>
    <col min="6145" max="6145" width="4.375" style="34" customWidth="1"/>
    <col min="6146" max="6146" width="5.5" style="34" customWidth="1"/>
    <col min="6147" max="6147" width="47" style="34" customWidth="1"/>
    <col min="6148" max="6148" width="22.375" style="34" customWidth="1"/>
    <col min="6149" max="6399" width="9" style="34"/>
    <col min="6400" max="6400" width="2" style="34" customWidth="1"/>
    <col min="6401" max="6401" width="4.375" style="34" customWidth="1"/>
    <col min="6402" max="6402" width="5.5" style="34" customWidth="1"/>
    <col min="6403" max="6403" width="47" style="34" customWidth="1"/>
    <col min="6404" max="6404" width="22.375" style="34" customWidth="1"/>
    <col min="6405" max="6655" width="9" style="34"/>
    <col min="6656" max="6656" width="2" style="34" customWidth="1"/>
    <col min="6657" max="6657" width="4.375" style="34" customWidth="1"/>
    <col min="6658" max="6658" width="5.5" style="34" customWidth="1"/>
    <col min="6659" max="6659" width="47" style="34" customWidth="1"/>
    <col min="6660" max="6660" width="22.375" style="34" customWidth="1"/>
    <col min="6661" max="6911" width="9" style="34"/>
    <col min="6912" max="6912" width="2" style="34" customWidth="1"/>
    <col min="6913" max="6913" width="4.375" style="34" customWidth="1"/>
    <col min="6914" max="6914" width="5.5" style="34" customWidth="1"/>
    <col min="6915" max="6915" width="47" style="34" customWidth="1"/>
    <col min="6916" max="6916" width="22.375" style="34" customWidth="1"/>
    <col min="6917" max="7167" width="9" style="34"/>
    <col min="7168" max="7168" width="2" style="34" customWidth="1"/>
    <col min="7169" max="7169" width="4.375" style="34" customWidth="1"/>
    <col min="7170" max="7170" width="5.5" style="34" customWidth="1"/>
    <col min="7171" max="7171" width="47" style="34" customWidth="1"/>
    <col min="7172" max="7172" width="22.375" style="34" customWidth="1"/>
    <col min="7173" max="7423" width="9" style="34"/>
    <col min="7424" max="7424" width="2" style="34" customWidth="1"/>
    <col min="7425" max="7425" width="4.375" style="34" customWidth="1"/>
    <col min="7426" max="7426" width="5.5" style="34" customWidth="1"/>
    <col min="7427" max="7427" width="47" style="34" customWidth="1"/>
    <col min="7428" max="7428" width="22.375" style="34" customWidth="1"/>
    <col min="7429" max="7679" width="9" style="34"/>
    <col min="7680" max="7680" width="2" style="34" customWidth="1"/>
    <col min="7681" max="7681" width="4.375" style="34" customWidth="1"/>
    <col min="7682" max="7682" width="5.5" style="34" customWidth="1"/>
    <col min="7683" max="7683" width="47" style="34" customWidth="1"/>
    <col min="7684" max="7684" width="22.375" style="34" customWidth="1"/>
    <col min="7685" max="7935" width="9" style="34"/>
    <col min="7936" max="7936" width="2" style="34" customWidth="1"/>
    <col min="7937" max="7937" width="4.375" style="34" customWidth="1"/>
    <col min="7938" max="7938" width="5.5" style="34" customWidth="1"/>
    <col min="7939" max="7939" width="47" style="34" customWidth="1"/>
    <col min="7940" max="7940" width="22.375" style="34" customWidth="1"/>
    <col min="7941" max="8191" width="9" style="34"/>
    <col min="8192" max="8192" width="2" style="34" customWidth="1"/>
    <col min="8193" max="8193" width="4.375" style="34" customWidth="1"/>
    <col min="8194" max="8194" width="5.5" style="34" customWidth="1"/>
    <col min="8195" max="8195" width="47" style="34" customWidth="1"/>
    <col min="8196" max="8196" width="22.375" style="34" customWidth="1"/>
    <col min="8197" max="8447" width="9" style="34"/>
    <col min="8448" max="8448" width="2" style="34" customWidth="1"/>
    <col min="8449" max="8449" width="4.375" style="34" customWidth="1"/>
    <col min="8450" max="8450" width="5.5" style="34" customWidth="1"/>
    <col min="8451" max="8451" width="47" style="34" customWidth="1"/>
    <col min="8452" max="8452" width="22.375" style="34" customWidth="1"/>
    <col min="8453" max="8703" width="9" style="34"/>
    <col min="8704" max="8704" width="2" style="34" customWidth="1"/>
    <col min="8705" max="8705" width="4.375" style="34" customWidth="1"/>
    <col min="8706" max="8706" width="5.5" style="34" customWidth="1"/>
    <col min="8707" max="8707" width="47" style="34" customWidth="1"/>
    <col min="8708" max="8708" width="22.375" style="34" customWidth="1"/>
    <col min="8709" max="8959" width="9" style="34"/>
    <col min="8960" max="8960" width="2" style="34" customWidth="1"/>
    <col min="8961" max="8961" width="4.375" style="34" customWidth="1"/>
    <col min="8962" max="8962" width="5.5" style="34" customWidth="1"/>
    <col min="8963" max="8963" width="47" style="34" customWidth="1"/>
    <col min="8964" max="8964" width="22.375" style="34" customWidth="1"/>
    <col min="8965" max="9215" width="9" style="34"/>
    <col min="9216" max="9216" width="2" style="34" customWidth="1"/>
    <col min="9217" max="9217" width="4.375" style="34" customWidth="1"/>
    <col min="9218" max="9218" width="5.5" style="34" customWidth="1"/>
    <col min="9219" max="9219" width="47" style="34" customWidth="1"/>
    <col min="9220" max="9220" width="22.375" style="34" customWidth="1"/>
    <col min="9221" max="9471" width="9" style="34"/>
    <col min="9472" max="9472" width="2" style="34" customWidth="1"/>
    <col min="9473" max="9473" width="4.375" style="34" customWidth="1"/>
    <col min="9474" max="9474" width="5.5" style="34" customWidth="1"/>
    <col min="9475" max="9475" width="47" style="34" customWidth="1"/>
    <col min="9476" max="9476" width="22.375" style="34" customWidth="1"/>
    <col min="9477" max="9727" width="9" style="34"/>
    <col min="9728" max="9728" width="2" style="34" customWidth="1"/>
    <col min="9729" max="9729" width="4.375" style="34" customWidth="1"/>
    <col min="9730" max="9730" width="5.5" style="34" customWidth="1"/>
    <col min="9731" max="9731" width="47" style="34" customWidth="1"/>
    <col min="9732" max="9732" width="22.375" style="34" customWidth="1"/>
    <col min="9733" max="9983" width="9" style="34"/>
    <col min="9984" max="9984" width="2" style="34" customWidth="1"/>
    <col min="9985" max="9985" width="4.375" style="34" customWidth="1"/>
    <col min="9986" max="9986" width="5.5" style="34" customWidth="1"/>
    <col min="9987" max="9987" width="47" style="34" customWidth="1"/>
    <col min="9988" max="9988" width="22.375" style="34" customWidth="1"/>
    <col min="9989" max="10239" width="9" style="34"/>
    <col min="10240" max="10240" width="2" style="34" customWidth="1"/>
    <col min="10241" max="10241" width="4.375" style="34" customWidth="1"/>
    <col min="10242" max="10242" width="5.5" style="34" customWidth="1"/>
    <col min="10243" max="10243" width="47" style="34" customWidth="1"/>
    <col min="10244" max="10244" width="22.375" style="34" customWidth="1"/>
    <col min="10245" max="10495" width="9" style="34"/>
    <col min="10496" max="10496" width="2" style="34" customWidth="1"/>
    <col min="10497" max="10497" width="4.375" style="34" customWidth="1"/>
    <col min="10498" max="10498" width="5.5" style="34" customWidth="1"/>
    <col min="10499" max="10499" width="47" style="34" customWidth="1"/>
    <col min="10500" max="10500" width="22.375" style="34" customWidth="1"/>
    <col min="10501" max="10751" width="9" style="34"/>
    <col min="10752" max="10752" width="2" style="34" customWidth="1"/>
    <col min="10753" max="10753" width="4.375" style="34" customWidth="1"/>
    <col min="10754" max="10754" width="5.5" style="34" customWidth="1"/>
    <col min="10755" max="10755" width="47" style="34" customWidth="1"/>
    <col min="10756" max="10756" width="22.375" style="34" customWidth="1"/>
    <col min="10757" max="11007" width="9" style="34"/>
    <col min="11008" max="11008" width="2" style="34" customWidth="1"/>
    <col min="11009" max="11009" width="4.375" style="34" customWidth="1"/>
    <col min="11010" max="11010" width="5.5" style="34" customWidth="1"/>
    <col min="11011" max="11011" width="47" style="34" customWidth="1"/>
    <col min="11012" max="11012" width="22.375" style="34" customWidth="1"/>
    <col min="11013" max="11263" width="9" style="34"/>
    <col min="11264" max="11264" width="2" style="34" customWidth="1"/>
    <col min="11265" max="11265" width="4.375" style="34" customWidth="1"/>
    <col min="11266" max="11266" width="5.5" style="34" customWidth="1"/>
    <col min="11267" max="11267" width="47" style="34" customWidth="1"/>
    <col min="11268" max="11268" width="22.375" style="34" customWidth="1"/>
    <col min="11269" max="11519" width="9" style="34"/>
    <col min="11520" max="11520" width="2" style="34" customWidth="1"/>
    <col min="11521" max="11521" width="4.375" style="34" customWidth="1"/>
    <col min="11522" max="11522" width="5.5" style="34" customWidth="1"/>
    <col min="11523" max="11523" width="47" style="34" customWidth="1"/>
    <col min="11524" max="11524" width="22.375" style="34" customWidth="1"/>
    <col min="11525" max="11775" width="9" style="34"/>
    <col min="11776" max="11776" width="2" style="34" customWidth="1"/>
    <col min="11777" max="11777" width="4.375" style="34" customWidth="1"/>
    <col min="11778" max="11778" width="5.5" style="34" customWidth="1"/>
    <col min="11779" max="11779" width="47" style="34" customWidth="1"/>
    <col min="11780" max="11780" width="22.375" style="34" customWidth="1"/>
    <col min="11781" max="12031" width="9" style="34"/>
    <col min="12032" max="12032" width="2" style="34" customWidth="1"/>
    <col min="12033" max="12033" width="4.375" style="34" customWidth="1"/>
    <col min="12034" max="12034" width="5.5" style="34" customWidth="1"/>
    <col min="12035" max="12035" width="47" style="34" customWidth="1"/>
    <col min="12036" max="12036" width="22.375" style="34" customWidth="1"/>
    <col min="12037" max="12287" width="9" style="34"/>
    <col min="12288" max="12288" width="2" style="34" customWidth="1"/>
    <col min="12289" max="12289" width="4.375" style="34" customWidth="1"/>
    <col min="12290" max="12290" width="5.5" style="34" customWidth="1"/>
    <col min="12291" max="12291" width="47" style="34" customWidth="1"/>
    <col min="12292" max="12292" width="22.375" style="34" customWidth="1"/>
    <col min="12293" max="12543" width="9" style="34"/>
    <col min="12544" max="12544" width="2" style="34" customWidth="1"/>
    <col min="12545" max="12545" width="4.375" style="34" customWidth="1"/>
    <col min="12546" max="12546" width="5.5" style="34" customWidth="1"/>
    <col min="12547" max="12547" width="47" style="34" customWidth="1"/>
    <col min="12548" max="12548" width="22.375" style="34" customWidth="1"/>
    <col min="12549" max="12799" width="9" style="34"/>
    <col min="12800" max="12800" width="2" style="34" customWidth="1"/>
    <col min="12801" max="12801" width="4.375" style="34" customWidth="1"/>
    <col min="12802" max="12802" width="5.5" style="34" customWidth="1"/>
    <col min="12803" max="12803" width="47" style="34" customWidth="1"/>
    <col min="12804" max="12804" width="22.375" style="34" customWidth="1"/>
    <col min="12805" max="13055" width="9" style="34"/>
    <col min="13056" max="13056" width="2" style="34" customWidth="1"/>
    <col min="13057" max="13057" width="4.375" style="34" customWidth="1"/>
    <col min="13058" max="13058" width="5.5" style="34" customWidth="1"/>
    <col min="13059" max="13059" width="47" style="34" customWidth="1"/>
    <col min="13060" max="13060" width="22.375" style="34" customWidth="1"/>
    <col min="13061" max="13311" width="9" style="34"/>
    <col min="13312" max="13312" width="2" style="34" customWidth="1"/>
    <col min="13313" max="13313" width="4.375" style="34" customWidth="1"/>
    <col min="13314" max="13314" width="5.5" style="34" customWidth="1"/>
    <col min="13315" max="13315" width="47" style="34" customWidth="1"/>
    <col min="13316" max="13316" width="22.375" style="34" customWidth="1"/>
    <col min="13317" max="13567" width="9" style="34"/>
    <col min="13568" max="13568" width="2" style="34" customWidth="1"/>
    <col min="13569" max="13569" width="4.375" style="34" customWidth="1"/>
    <col min="13570" max="13570" width="5.5" style="34" customWidth="1"/>
    <col min="13571" max="13571" width="47" style="34" customWidth="1"/>
    <col min="13572" max="13572" width="22.375" style="34" customWidth="1"/>
    <col min="13573" max="13823" width="9" style="34"/>
    <col min="13824" max="13824" width="2" style="34" customWidth="1"/>
    <col min="13825" max="13825" width="4.375" style="34" customWidth="1"/>
    <col min="13826" max="13826" width="5.5" style="34" customWidth="1"/>
    <col min="13827" max="13827" width="47" style="34" customWidth="1"/>
    <col min="13828" max="13828" width="22.375" style="34" customWidth="1"/>
    <col min="13829" max="14079" width="9" style="34"/>
    <col min="14080" max="14080" width="2" style="34" customWidth="1"/>
    <col min="14081" max="14081" width="4.375" style="34" customWidth="1"/>
    <col min="14082" max="14082" width="5.5" style="34" customWidth="1"/>
    <col min="14083" max="14083" width="47" style="34" customWidth="1"/>
    <col min="14084" max="14084" width="22.375" style="34" customWidth="1"/>
    <col min="14085" max="14335" width="9" style="34"/>
    <col min="14336" max="14336" width="2" style="34" customWidth="1"/>
    <col min="14337" max="14337" width="4.375" style="34" customWidth="1"/>
    <col min="14338" max="14338" width="5.5" style="34" customWidth="1"/>
    <col min="14339" max="14339" width="47" style="34" customWidth="1"/>
    <col min="14340" max="14340" width="22.375" style="34" customWidth="1"/>
    <col min="14341" max="14591" width="9" style="34"/>
    <col min="14592" max="14592" width="2" style="34" customWidth="1"/>
    <col min="14593" max="14593" width="4.375" style="34" customWidth="1"/>
    <col min="14594" max="14594" width="5.5" style="34" customWidth="1"/>
    <col min="14595" max="14595" width="47" style="34" customWidth="1"/>
    <col min="14596" max="14596" width="22.375" style="34" customWidth="1"/>
    <col min="14597" max="14847" width="9" style="34"/>
    <col min="14848" max="14848" width="2" style="34" customWidth="1"/>
    <col min="14849" max="14849" width="4.375" style="34" customWidth="1"/>
    <col min="14850" max="14850" width="5.5" style="34" customWidth="1"/>
    <col min="14851" max="14851" width="47" style="34" customWidth="1"/>
    <col min="14852" max="14852" width="22.375" style="34" customWidth="1"/>
    <col min="14853" max="15103" width="9" style="34"/>
    <col min="15104" max="15104" width="2" style="34" customWidth="1"/>
    <col min="15105" max="15105" width="4.375" style="34" customWidth="1"/>
    <col min="15106" max="15106" width="5.5" style="34" customWidth="1"/>
    <col min="15107" max="15107" width="47" style="34" customWidth="1"/>
    <col min="15108" max="15108" width="22.375" style="34" customWidth="1"/>
    <col min="15109" max="15359" width="9" style="34"/>
    <col min="15360" max="15360" width="2" style="34" customWidth="1"/>
    <col min="15361" max="15361" width="4.375" style="34" customWidth="1"/>
    <col min="15362" max="15362" width="5.5" style="34" customWidth="1"/>
    <col min="15363" max="15363" width="47" style="34" customWidth="1"/>
    <col min="15364" max="15364" width="22.375" style="34" customWidth="1"/>
    <col min="15365" max="15615" width="9" style="34"/>
    <col min="15616" max="15616" width="2" style="34" customWidth="1"/>
    <col min="15617" max="15617" width="4.375" style="34" customWidth="1"/>
    <col min="15618" max="15618" width="5.5" style="34" customWidth="1"/>
    <col min="15619" max="15619" width="47" style="34" customWidth="1"/>
    <col min="15620" max="15620" width="22.375" style="34" customWidth="1"/>
    <col min="15621" max="15871" width="9" style="34"/>
    <col min="15872" max="15872" width="2" style="34" customWidth="1"/>
    <col min="15873" max="15873" width="4.375" style="34" customWidth="1"/>
    <col min="15874" max="15874" width="5.5" style="34" customWidth="1"/>
    <col min="15875" max="15875" width="47" style="34" customWidth="1"/>
    <col min="15876" max="15876" width="22.375" style="34" customWidth="1"/>
    <col min="15877" max="16127" width="9" style="34"/>
    <col min="16128" max="16128" width="2" style="34" customWidth="1"/>
    <col min="16129" max="16129" width="4.375" style="34" customWidth="1"/>
    <col min="16130" max="16130" width="5.5" style="34" customWidth="1"/>
    <col min="16131" max="16131" width="47" style="34" customWidth="1"/>
    <col min="16132" max="16132" width="22.375" style="34" customWidth="1"/>
    <col min="16133" max="16383" width="9" style="34"/>
    <col min="16384" max="16384" width="9" style="34" customWidth="1"/>
  </cols>
  <sheetData>
    <row r="1" spans="2:5" s="36" customFormat="1">
      <c r="B1" s="34"/>
      <c r="C1" s="35" t="s">
        <v>47</v>
      </c>
      <c r="D1" s="34"/>
    </row>
    <row r="2" spans="2:5" ht="21" thickBot="1"/>
    <row r="3" spans="2:5" s="36" customFormat="1" ht="42" thickTop="1" thickBot="1">
      <c r="B3" s="37"/>
      <c r="C3" s="39" t="s">
        <v>48</v>
      </c>
      <c r="D3" s="38" t="s">
        <v>143</v>
      </c>
      <c r="E3" s="38" t="s">
        <v>144</v>
      </c>
    </row>
    <row r="4" spans="2:5" s="36" customFormat="1" ht="21.75" thickTop="1" thickBot="1">
      <c r="B4" s="40">
        <v>1</v>
      </c>
      <c r="C4" s="41" t="s">
        <v>33</v>
      </c>
      <c r="D4" s="42">
        <f>SUM('Pre-assessment'!C5:C13)</f>
        <v>9</v>
      </c>
      <c r="E4" s="75">
        <f>(D4*100)/9</f>
        <v>100</v>
      </c>
    </row>
    <row r="5" spans="2:5" s="36" customFormat="1" ht="21.75" thickTop="1" thickBot="1">
      <c r="B5" s="40">
        <v>2</v>
      </c>
      <c r="C5" s="41" t="s">
        <v>34</v>
      </c>
      <c r="D5" s="42">
        <f>SUM('Pre-assessment'!C15:C18)</f>
        <v>4</v>
      </c>
      <c r="E5" s="75">
        <f>(D5*100)/4</f>
        <v>100</v>
      </c>
    </row>
    <row r="6" spans="2:5" s="36" customFormat="1" ht="21.75" thickTop="1" thickBot="1">
      <c r="B6" s="40">
        <v>3</v>
      </c>
      <c r="C6" s="41" t="s">
        <v>35</v>
      </c>
      <c r="D6" s="42">
        <f>SUM('Pre-assessment'!C20:C24)</f>
        <v>5</v>
      </c>
      <c r="E6" s="75">
        <f>(D6*100)/5</f>
        <v>100</v>
      </c>
    </row>
    <row r="7" spans="2:5" s="36" customFormat="1" ht="21.75" thickTop="1" thickBot="1">
      <c r="B7" s="40">
        <v>4</v>
      </c>
      <c r="C7" s="41" t="s">
        <v>36</v>
      </c>
      <c r="D7" s="42">
        <f>SUM('Pre-assessment'!C26:C29)</f>
        <v>4</v>
      </c>
      <c r="E7" s="75">
        <f>(D7*100)/4</f>
        <v>100</v>
      </c>
    </row>
    <row r="8" spans="2:5" s="36" customFormat="1" ht="21.75" thickTop="1" thickBot="1">
      <c r="B8" s="40">
        <v>5</v>
      </c>
      <c r="C8" s="41" t="s">
        <v>111</v>
      </c>
      <c r="D8" s="42">
        <f>SUM('Pre-assessment'!C31:C38)</f>
        <v>8</v>
      </c>
      <c r="E8" s="75">
        <f>(D8*100)/8</f>
        <v>100</v>
      </c>
    </row>
    <row r="9" spans="2:5" s="36" customFormat="1" ht="21.75" thickTop="1" thickBot="1">
      <c r="B9" s="40">
        <v>6</v>
      </c>
      <c r="C9" s="41" t="s">
        <v>40</v>
      </c>
      <c r="D9" s="42">
        <f>SUM('Pre-assessment'!C40:C46)</f>
        <v>7</v>
      </c>
      <c r="E9" s="75">
        <f>(D9*100)/7</f>
        <v>100</v>
      </c>
    </row>
    <row r="10" spans="2:5" s="36" customFormat="1" ht="21.75" thickTop="1" thickBot="1">
      <c r="B10" s="40">
        <v>7</v>
      </c>
      <c r="C10" s="41" t="s">
        <v>44</v>
      </c>
      <c r="D10" s="42">
        <f>SUM('Pre-assessment'!C48:C57)</f>
        <v>10</v>
      </c>
      <c r="E10" s="75">
        <f>(D10*100)/10</f>
        <v>100</v>
      </c>
    </row>
    <row r="11" spans="2:5" s="36" customFormat="1" ht="21.75" thickTop="1" thickBot="1">
      <c r="B11" s="40">
        <v>8</v>
      </c>
      <c r="C11" s="41" t="s">
        <v>88</v>
      </c>
      <c r="D11" s="42">
        <f>SUM('Pre-assessment'!C59:C62)</f>
        <v>4</v>
      </c>
      <c r="E11" s="75">
        <f>(D11*100)/4</f>
        <v>100</v>
      </c>
    </row>
    <row r="12" spans="2:5" s="36" customFormat="1" ht="21.75" thickTop="1" thickBot="1">
      <c r="B12" s="40">
        <v>9</v>
      </c>
      <c r="C12" s="41" t="s">
        <v>46</v>
      </c>
      <c r="D12" s="42">
        <f>SUM('Pre-assessment'!C64:C67)</f>
        <v>4</v>
      </c>
      <c r="E12" s="75">
        <f>(D12*100)/4</f>
        <v>100</v>
      </c>
    </row>
    <row r="13" spans="2:5" s="36" customFormat="1" ht="21.75" thickTop="1" thickBot="1">
      <c r="B13" s="115" t="s">
        <v>49</v>
      </c>
      <c r="C13" s="115"/>
      <c r="D13" s="43">
        <f>SUM(D4:D12)</f>
        <v>55</v>
      </c>
      <c r="E13" s="76">
        <f>SUM(E4:E12)/9</f>
        <v>100</v>
      </c>
    </row>
    <row r="14" spans="2:5" ht="21" thickTop="1"/>
  </sheetData>
  <mergeCells count="1">
    <mergeCell ref="B13:C13"/>
  </mergeCells>
  <pageMargins left="0.7" right="0.7" top="0.75" bottom="0.75" header="0.3" footer="0.3"/>
  <pageSetup paperSize="10" scale="68" firstPageNumber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D172-13E5-D446-A5DA-8FDF94D48FB3}">
  <dimension ref="A1"/>
  <sheetViews>
    <sheetView workbookViewId="0">
      <selection activeCell="D23" sqref="D23"/>
    </sheetView>
  </sheetViews>
  <sheetFormatPr defaultColWidth="11" defaultRowHeight="14.25"/>
  <sheetData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cbf058-46a8-44b6-8f4f-e6c4fac649f4" xsi:nil="true"/>
    <lcf76f155ced4ddcb4097134ff3c332f xmlns="a293d886-0107-4ee2-a765-143254c675a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9C496CAED3C47BE55996893ABFB27" ma:contentTypeVersion="14" ma:contentTypeDescription="Create a new document." ma:contentTypeScope="" ma:versionID="eaca0550cf145d06a77a53b7fad4fab6">
  <xsd:schema xmlns:xsd="http://www.w3.org/2001/XMLSchema" xmlns:xs="http://www.w3.org/2001/XMLSchema" xmlns:p="http://schemas.microsoft.com/office/2006/metadata/properties" xmlns:ns2="a293d886-0107-4ee2-a765-143254c675a9" xmlns:ns3="c8cbf058-46a8-44b6-8f4f-e6c4fac649f4" targetNamespace="http://schemas.microsoft.com/office/2006/metadata/properties" ma:root="true" ma:fieldsID="7b0ead3187fe499305c6e9f312a57331" ns2:_="" ns3:_="">
    <xsd:import namespace="a293d886-0107-4ee2-a765-143254c675a9"/>
    <xsd:import namespace="c8cbf058-46a8-44b6-8f4f-e6c4fac64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3d886-0107-4ee2-a765-143254c675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0e6492e-a842-4b69-9fcf-9be448f65a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bf058-46a8-44b6-8f4f-e6c4fac649f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82bc459-19c9-4fb2-9943-57a4d88869fb}" ma:internalName="TaxCatchAll" ma:showField="CatchAllData" ma:web="c8cbf058-46a8-44b6-8f4f-e6c4fac64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603FA8-0A41-4A04-B9DC-79F6FBB777A2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c8cbf058-46a8-44b6-8f4f-e6c4fac649f4"/>
    <ds:schemaRef ds:uri="http://purl.org/dc/dcmitype/"/>
    <ds:schemaRef ds:uri="a293d886-0107-4ee2-a765-143254c675a9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2AB43B0-BB74-4E8A-B4B4-25688200BD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93d886-0107-4ee2-a765-143254c675a9"/>
    <ds:schemaRef ds:uri="c8cbf058-46a8-44b6-8f4f-e6c4fac649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371F09-AB1B-4DCF-92BD-DF85696533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หน้าแรก</vt:lpstr>
      <vt:lpstr>PilotProject</vt:lpstr>
      <vt:lpstr>WorkProducts</vt:lpstr>
      <vt:lpstr>Pre-assessment</vt:lpstr>
      <vt:lpstr>สรุปผล</vt:lpstr>
      <vt:lpstr>รูปภาพ</vt:lpstr>
      <vt:lpstr>สรุปผล!_Hlk251586324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Prakit</dc:creator>
  <cp:lastModifiedBy>Rungravee Sanomsri</cp:lastModifiedBy>
  <cp:lastPrinted>2024-08-29T10:02:45Z</cp:lastPrinted>
  <dcterms:created xsi:type="dcterms:W3CDTF">2020-11-03T16:12:20Z</dcterms:created>
  <dcterms:modified xsi:type="dcterms:W3CDTF">2025-10-20T10:25:00Z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0x0101004779C496CAED3C47BE55996893ABFB27</vt:lpwstr>
  </property>
</Properties>
</file>